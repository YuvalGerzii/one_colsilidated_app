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perty Master" sheetId="2" state="visible" r:id="rId4"/>
    <sheet name="Ownership Models" sheetId="3" state="visible" r:id="rId5"/>
    <sheet name="Unit Inventory" sheetId="4" state="visible" r:id="rId6"/>
    <sheet name="Rent Roll" sheetId="5" state="visible" r:id="rId7"/>
    <sheet name="Income Statement" sheetId="6" state="visible" r:id="rId8"/>
    <sheet name="Cash Flow" sheetId="7" state="visible" r:id="rId9"/>
    <sheet name="Lease Schedule" sheetId="8" state="visible" r:id="rId10"/>
    <sheet name="Maintenance Tracker" sheetId="9" state="visible" r:id="rId11"/>
    <sheet name="ROI Analysis" sheetId="10" state="visible" r:id="rId12"/>
    <sheet name="Budget vs Actual" sheetId="11" state="visible" r:id="rId13"/>
    <sheet name="Setting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<sst xmlns="http://schemas.openxmlformats.org/spreadsheetml/2006/main" count="444" uniqueCount="229">
  <si>
    <t xml:space="preserve">PROPERTY MANAGEMENT DASHBOARD</t>
  </si>
  <si>
    <t xml:space="preserve">As of: November 05, 2025</t>
  </si>
  <si>
    <t xml:space="preserve">PORTFOLIO SUMMARY</t>
  </si>
  <si>
    <t xml:space="preserve">Total Properties</t>
  </si>
  <si>
    <t xml:space="preserve">Total Units</t>
  </si>
  <si>
    <t xml:space="preserve">Occupied Units</t>
  </si>
  <si>
    <t xml:space="preserve">Physical Occupancy Rate</t>
  </si>
  <si>
    <t xml:space="preserve">Portfolio Value</t>
  </si>
  <si>
    <t xml:space="preserve">Total Equity Invested</t>
  </si>
  <si>
    <t xml:space="preserve">FINANCIAL PERFORMANCE (Monthly)</t>
  </si>
  <si>
    <t xml:space="preserve">Gross Potential Rent</t>
  </si>
  <si>
    <t xml:space="preserve">Vacancy Loss</t>
  </si>
  <si>
    <t xml:space="preserve">Effective Gross Income</t>
  </si>
  <si>
    <t xml:space="preserve">Total Operating Expenses</t>
  </si>
  <si>
    <t xml:space="preserve">Net Operating Income</t>
  </si>
  <si>
    <t xml:space="preserve">Portfolio Cap Rate</t>
  </si>
  <si>
    <t xml:space="preserve">KEY ALERTS</t>
  </si>
  <si>
    <t xml:space="preserve">Leases Expiring in 60 Days</t>
  </si>
  <si>
    <t xml:space="preserve">Vacant Units</t>
  </si>
  <si>
    <t xml:space="preserve">Open Maintenance Requests</t>
  </si>
  <si>
    <t xml:space="preserve">Properties Below Target Occupancy</t>
  </si>
  <si>
    <t xml:space="preserve">Property ID</t>
  </si>
  <si>
    <t xml:space="preserve">Property Name</t>
  </si>
  <si>
    <t xml:space="preserve">Address</t>
  </si>
  <si>
    <t xml:space="preserve">City</t>
  </si>
  <si>
    <t xml:space="preserve">State</t>
  </si>
  <si>
    <t xml:space="preserve">Type</t>
  </si>
  <si>
    <t xml:space="preserve">Ownership Model</t>
  </si>
  <si>
    <t xml:space="preserve">Purchase Price</t>
  </si>
  <si>
    <t xml:space="preserve">Purchase Date</t>
  </si>
  <si>
    <t xml:space="preserve">Current Value</t>
  </si>
  <si>
    <t xml:space="preserve">Status</t>
  </si>
  <si>
    <t xml:space="preserve">Notes</t>
  </si>
  <si>
    <t xml:space="preserve">PROP-001</t>
  </si>
  <si>
    <t xml:space="preserve">Maple Apartments</t>
  </si>
  <si>
    <t xml:space="preserve">123 Main St</t>
  </si>
  <si>
    <t xml:space="preserve">New York</t>
  </si>
  <si>
    <t xml:space="preserve">NY</t>
  </si>
  <si>
    <t xml:space="preserve">Multifamily</t>
  </si>
  <si>
    <t xml:space="preserve">Full Ownership</t>
  </si>
  <si>
    <t xml:space="preserve">Active</t>
  </si>
  <si>
    <t xml:space="preserve">Ownership Type</t>
  </si>
  <si>
    <t xml:space="preserve">Details</t>
  </si>
  <si>
    <t xml:space="preserve">Master Lease Amount</t>
  </si>
  <si>
    <t xml:space="preserve">Lease Start</t>
  </si>
  <si>
    <t xml:space="preserve">Lease End</t>
  </si>
  <si>
    <t xml:space="preserve">Landlord Approval</t>
  </si>
  <si>
    <t xml:space="preserve">Special Terms</t>
  </si>
  <si>
    <t xml:space="preserve">Profit Split %</t>
  </si>
  <si>
    <t xml:space="preserve">100% Equity Owned</t>
  </si>
  <si>
    <t xml:space="preserve">Unit Number</t>
  </si>
  <si>
    <t xml:space="preserve">Unit Type</t>
  </si>
  <si>
    <t xml:space="preserve">Beds</t>
  </si>
  <si>
    <t xml:space="preserve">Baths</t>
  </si>
  <si>
    <t xml:space="preserve">Sq Ft</t>
  </si>
  <si>
    <t xml:space="preserve">Market Rent</t>
  </si>
  <si>
    <t xml:space="preserve">Current Rent</t>
  </si>
  <si>
    <t xml:space="preserve">Tenant Name</t>
  </si>
  <si>
    <t xml:space="preserve">Occupied</t>
  </si>
  <si>
    <t xml:space="preserve">Days Vacant</t>
  </si>
  <si>
    <t xml:space="preserve">Renovation Budget</t>
  </si>
  <si>
    <t xml:space="preserve">1A</t>
  </si>
  <si>
    <t xml:space="preserve">1BR/1BA</t>
  </si>
  <si>
    <t xml:space="preserve">2A</t>
  </si>
  <si>
    <t xml:space="preserve">3A</t>
  </si>
  <si>
    <t xml:space="preserve">4A</t>
  </si>
  <si>
    <t xml:space="preserve">5A</t>
  </si>
  <si>
    <t xml:space="preserve">6A</t>
  </si>
  <si>
    <t xml:space="preserve">7A</t>
  </si>
  <si>
    <t xml:space="preserve">8A</t>
  </si>
  <si>
    <t xml:space="preserve">9A</t>
  </si>
  <si>
    <t xml:space="preserve">10A</t>
  </si>
  <si>
    <t xml:space="preserve">11A</t>
  </si>
  <si>
    <t xml:space="preserve">12A</t>
  </si>
  <si>
    <t xml:space="preserve">13A</t>
  </si>
  <si>
    <t xml:space="preserve">14A</t>
  </si>
  <si>
    <t xml:space="preserve">15A</t>
  </si>
  <si>
    <t xml:space="preserve">16A</t>
  </si>
  <si>
    <t xml:space="preserve">17A</t>
  </si>
  <si>
    <t xml:space="preserve">18A</t>
  </si>
  <si>
    <t xml:space="preserve">19A</t>
  </si>
  <si>
    <t xml:space="preserve">20A</t>
  </si>
  <si>
    <t xml:space="preserve">21A</t>
  </si>
  <si>
    <t xml:space="preserve">22A</t>
  </si>
  <si>
    <t xml:space="preserve">23A</t>
  </si>
  <si>
    <t xml:space="preserve">Vacant</t>
  </si>
  <si>
    <t xml:space="preserve">24A</t>
  </si>
  <si>
    <t xml:space="preserve">Unit</t>
  </si>
  <si>
    <t xml:space="preserve">Monthly Rent</t>
  </si>
  <si>
    <t xml:space="preserve">Security Deposit</t>
  </si>
  <si>
    <t xml:space="preserve">Credit Score</t>
  </si>
  <si>
    <t xml:space="preserve">Monthly Rent Total</t>
  </si>
  <si>
    <t xml:space="preserve">Annual Rent</t>
  </si>
  <si>
    <t xml:space="preserve">Lease Status</t>
  </si>
  <si>
    <t xml:space="preserve">Tenant 1</t>
  </si>
  <si>
    <t xml:space="preserve">Tenant 2</t>
  </si>
  <si>
    <t xml:space="preserve">Tenant 3</t>
  </si>
  <si>
    <t xml:space="preserve">Tenant 4</t>
  </si>
  <si>
    <t xml:space="preserve">Tenant 5</t>
  </si>
  <si>
    <t xml:space="preserve">Tenant 6</t>
  </si>
  <si>
    <t xml:space="preserve">Tenant 7</t>
  </si>
  <si>
    <t xml:space="preserve">Tenant 8</t>
  </si>
  <si>
    <t xml:space="preserve">Tenant 9</t>
  </si>
  <si>
    <t xml:space="preserve">Tenant 10</t>
  </si>
  <si>
    <t xml:space="preserve">Tenant 11</t>
  </si>
  <si>
    <t xml:space="preserve">Tenant 12</t>
  </si>
  <si>
    <t xml:space="preserve">Tenant 13</t>
  </si>
  <si>
    <t xml:space="preserve">Tenant 14</t>
  </si>
  <si>
    <t xml:space="preserve">Tenant 15</t>
  </si>
  <si>
    <t xml:space="preserve">Tenant 16</t>
  </si>
  <si>
    <t xml:space="preserve">Tenant 17</t>
  </si>
  <si>
    <t xml:space="preserve">Tenant 18</t>
  </si>
  <si>
    <t xml:space="preserve">Tenant 19</t>
  </si>
  <si>
    <t xml:space="preserve">Tenant 20</t>
  </si>
  <si>
    <t xml:space="preserve">Tenant 21</t>
  </si>
  <si>
    <t xml:space="preserve">Tenant 22</t>
  </si>
  <si>
    <t xml:space="preserve">TOTALS</t>
  </si>
  <si>
    <t xml:space="preserve">Other Income</t>
  </si>
  <si>
    <t xml:space="preserve">Operating Expenses</t>
  </si>
  <si>
    <t xml:space="preserve">Total OpEx</t>
  </si>
  <si>
    <t xml:space="preserve">Debt Service</t>
  </si>
  <si>
    <t xml:space="preserve">Cash Flow Before Tax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</si>
  <si>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</si>
  <si>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</si>
  <si>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</si>
  <si>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</si>
  <si>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</si>
  <si>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</si>
  <si>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</si>
  <si>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</si>
  <si>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</si>
  <si>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</si>
  <si>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</si>
  <si>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</si>
  <si>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</si>
  <si>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Rent Collection</t>
  </si>
  <si>
    <t xml:space="preserve">Tenant</t>
  </si>
  <si>
    <t xml:space="preserve">Days Until Expiration</t>
  </si>
  <si>
    <t xml:space="preserve">Renewal Probability</t>
  </si>
  <si>
    <t xml:space="preserve">Risk Level</t>
  </si>
  <si>
    <t xml:space="preserve">Action Required</t>
  </si>
  <si>
    <t xml:space="preserve">Request ID</t>
  </si>
  <si>
    <t xml:space="preserve">Category</t>
  </si>
  <si>
    <t xml:space="preserve">Description</t>
  </si>
  <si>
    <t xml:space="preserve">Priority</t>
  </si>
  <si>
    <t xml:space="preserve">Date Reported</t>
  </si>
  <si>
    <t xml:space="preserve">Date Completed</t>
  </si>
  <si>
    <t xml:space="preserve">Cost</t>
  </si>
  <si>
    <t xml:space="preserve">Vendor</t>
  </si>
  <si>
    <t xml:space="preserve">MNT-001</t>
  </si>
  <si>
    <t xml:space="preserve">Plumbing</t>
  </si>
  <si>
    <t xml:space="preserve">Repair needed</t>
  </si>
  <si>
    <t xml:space="preserve">Open</t>
  </si>
  <si>
    <t xml:space="preserve">Emergency</t>
  </si>
  <si>
    <t xml:space="preserve">MNT-002</t>
  </si>
  <si>
    <t xml:space="preserve">Electrical</t>
  </si>
  <si>
    <t xml:space="preserve">In Progress</t>
  </si>
  <si>
    <t xml:space="preserve">High</t>
  </si>
  <si>
    <t xml:space="preserve">MNT-003</t>
  </si>
  <si>
    <t xml:space="preserve">HVAC</t>
  </si>
  <si>
    <t xml:space="preserve">Completed</t>
  </si>
  <si>
    <t xml:space="preserve">Medium</t>
  </si>
  <si>
    <t xml:space="preserve">MNT-004</t>
  </si>
  <si>
    <t xml:space="preserve">Appliance</t>
  </si>
  <si>
    <t xml:space="preserve">Low</t>
  </si>
  <si>
    <t xml:space="preserve">MNT-005</t>
  </si>
  <si>
    <t xml:space="preserve">General</t>
  </si>
  <si>
    <t xml:space="preserve">MNT-006</t>
  </si>
  <si>
    <t xml:space="preserve">Total Equity</t>
  </si>
  <si>
    <t xml:space="preserve">Annual NOI</t>
  </si>
  <si>
    <t xml:space="preserve">Annual Cash Flow</t>
  </si>
  <si>
    <t xml:space="preserve">Appreciation</t>
  </si>
  <si>
    <t xml:space="preserve">Total Return</t>
  </si>
  <si>
    <t xml:space="preserve">Cash-on-Cash Return</t>
  </si>
  <si>
    <t xml:space="preserve">ROI</t>
  </si>
  <si>
    <t xml:space="preserve">IRR (Approx)</t>
  </si>
  <si>
    <t xml:space="preserve">Years Held</t>
  </si>
  <si>
    <t xml:space="preserve">Budget (Monthly)</t>
  </si>
  <si>
    <t xml:space="preserve">Actual (Monthly)</t>
  </si>
  <si>
    <t xml:space="preserve">Variance $</t>
  </si>
  <si>
    <t xml:space="preserve">Variance %</t>
  </si>
  <si>
    <t xml:space="preserve">YTD Budget</t>
  </si>
  <si>
    <t xml:space="preserve">YTD Actual</t>
  </si>
  <si>
    <t xml:space="preserve">YTD Variance</t>
  </si>
  <si>
    <t xml:space="preserve">Property Taxes</t>
  </si>
  <si>
    <t xml:space="preserve">Insurance</t>
  </si>
  <si>
    <t xml:space="preserve">Utilities</t>
  </si>
  <si>
    <t xml:space="preserve">Maintenance</t>
  </si>
  <si>
    <t xml:space="preserve">Management</t>
  </si>
  <si>
    <t xml:space="preserve">Marketing</t>
  </si>
  <si>
    <t xml:space="preserve">Landscaping</t>
  </si>
  <si>
    <t xml:space="preserve">Pest Control</t>
  </si>
  <si>
    <t xml:space="preserve">PROPERTY MANAGEMENT SYSTEM - SETTINGS</t>
  </si>
  <si>
    <t xml:space="preserve">GLOBAL ASSUMPTIONS</t>
  </si>
  <si>
    <t xml:space="preserve">Default Vacancy Rate</t>
  </si>
  <si>
    <t xml:space="preserve">5% vacancy for new properties</t>
  </si>
  <si>
    <t xml:space="preserve">Target Occupancy Rate</t>
  </si>
  <si>
    <t xml:space="preserve">95% occupancy target</t>
  </si>
  <si>
    <t xml:space="preserve">Annual Rent Growth</t>
  </si>
  <si>
    <t xml:space="preserve">3% annual increase</t>
  </si>
  <si>
    <t xml:space="preserve">Maintenance Reserve (% of Rent)</t>
  </si>
  <si>
    <t xml:space="preserve">5% of gross rent</t>
  </si>
  <si>
    <t xml:space="preserve">Management Fee (%)</t>
  </si>
  <si>
    <t xml:space="preserve">8% of gross income</t>
  </si>
  <si>
    <t xml:space="preserve">Default Cap Rate</t>
  </si>
  <si>
    <t xml:space="preserve">6% for valuation</t>
  </si>
  <si>
    <t xml:space="preserve">PROPERTY TYPES</t>
  </si>
  <si>
    <t xml:space="preserve">Single Family</t>
  </si>
  <si>
    <t xml:space="preserve">Commercial Office</t>
  </si>
  <si>
    <t xml:space="preserve">Retail</t>
  </si>
  <si>
    <t xml:space="preserve">Industrial</t>
  </si>
  <si>
    <t xml:space="preserve">Mixed-Use</t>
  </si>
  <si>
    <t xml:space="preserve">Hotel/Hospitality</t>
  </si>
  <si>
    <t xml:space="preserve">OWNERSHIP MODELS</t>
  </si>
  <si>
    <t xml:space="preserve">Master Lease</t>
  </si>
  <si>
    <t xml:space="preserve">Sublease</t>
  </si>
  <si>
    <t xml:space="preserve">Rental Arbitrage (Airbnb/VRBO)</t>
  </si>
  <si>
    <t xml:space="preserve">Joint Venture</t>
  </si>
  <si>
    <t xml:space="preserve">Management Contract Only</t>
  </si>
  <si>
    <t xml:space="preserve">Ground Lease</t>
  </si>
  <si>
    <t xml:space="preserve">COLOR CODING LEGEND</t>
  </si>
  <si>
    <t xml:space="preserve">Blue Text</t>
  </si>
  <si>
    <t xml:space="preserve">User inputs - Change these values for your properties</t>
  </si>
  <si>
    <t xml:space="preserve">Black Text</t>
  </si>
  <si>
    <t xml:space="preserve">Formulas - Automatically calculated</t>
  </si>
  <si>
    <t xml:space="preserve">Green Text</t>
  </si>
  <si>
    <t xml:space="preserve">Links to other sheets - Pull data from elsewhere</t>
  </si>
  <si>
    <t xml:space="preserve">Yellow Background</t>
  </si>
  <si>
    <t xml:space="preserve">Important assumptions - Review carefully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</si>
</sst>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%"/>
    <numFmt numFmtId="167" formatCode="\$#,##0"/>
    <numFmt numFmtId="168" formatCode="&quot;($&quot;#,##0\)"/>
    <numFmt numFmtId="169" formatCode="mm/dd/yyyy"/>
    <numFmt numFmtId="170" formatCode="0%"/>
    <numFmt numFmtId="171" formatCode="0.0"/>
    <numFmt numFmtId="172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66092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366092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8000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4"/>
      <color rgb="FF366092"/>
      <name val="Cambria"/>
      <family val="0"/>
      <charset val="1"/>
    </font>
    <font>
      <i val="true"/>
      <sz val="9"/>
      <name val="Cambria"/>
      <family val="0"/>
      <charset val="1"/>
    </font>
    <font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6" customFormat="false" ht="15" hidden="false" customHeight="false" outlineLevel="0" collapsed="false">
      <c r="A6" s="4" t="s">
        <v>3</v>
      </c>
      <c r="B6" s="5" t="n">
        <f aca="false">COUNTA('Property Master'!B4:B1000)</f>
        <v>1</v>
      </c>
    </row>
    <row r="7" customFormat="false" ht="15" hidden="false" customHeight="false" outlineLevel="0" collapsed="false">
      <c r="A7" s="4" t="s">
        <v>4</v>
      </c>
      <c r="B7" s="5" t="n">
        <f aca="false">SUM('Property Master'!H4:H1000)</f>
        <v>24</v>
      </c>
    </row>
    <row r="8" customFormat="false" ht="15" hidden="false" customHeight="false" outlineLevel="0" collapsed="false">
      <c r="A8" s="4" t="s">
        <v>5</v>
      </c>
      <c r="B8" s="5" t="n">
        <f aca="false">SUM('Unit Inventory'!L4:L1000)</f>
        <v>22</v>
      </c>
    </row>
    <row r="9" customFormat="false" ht="15" hidden="false" customHeight="false" outlineLevel="0" collapsed="false">
      <c r="A9" s="4" t="s">
        <v>6</v>
      </c>
      <c r="B9" s="6" t="n">
        <f aca="false">IF(D6&gt;0,D7/D6,0)</f>
        <v>0</v>
      </c>
    </row>
    <row r="10" customFormat="false" ht="15" hidden="false" customHeight="false" outlineLevel="0" collapsed="false">
      <c r="A10" s="4" t="s">
        <v>7</v>
      </c>
      <c r="B10" s="7" t="n">
        <f aca="false">SUM('Property Master'!I4:I1000)</f>
        <v>3000000</v>
      </c>
    </row>
    <row r="11" customFormat="false" ht="15" hidden="false" customHeight="false" outlineLevel="0" collapsed="false">
      <c r="A11" s="4" t="s">
        <v>8</v>
      </c>
      <c r="B11" s="7" t="n">
        <f aca="false">SUM('ROI Analysis'!E4:E1000)</f>
        <v>600000</v>
      </c>
    </row>
    <row r="13" customFormat="false" ht="15" hidden="false" customHeight="false" outlineLevel="0" collapsed="false">
      <c r="A13" s="3" t="s">
        <v>9</v>
      </c>
      <c r="B13" s="3"/>
      <c r="C13" s="3"/>
      <c r="D13" s="3"/>
    </row>
    <row r="15" customFormat="false" ht="15" hidden="false" customHeight="false" outlineLevel="0" collapsed="false">
      <c r="A15" s="4" t="s">
        <v>10</v>
      </c>
      <c r="B15" s="7" t="n">
        <f aca="false">SUM('Rent Roll'!J4:J1000)</f>
        <v>105600</v>
      </c>
    </row>
    <row r="16" customFormat="false" ht="15" hidden="false" customHeight="false" outlineLevel="0" collapsed="false">
      <c r="A16" s="4" t="s">
        <v>11</v>
      </c>
      <c r="B16" s="8" t="n">
        <f aca="false">SUM('Income Statement'!D4:D1000)</f>
        <v>5000</v>
      </c>
    </row>
    <row r="17" customFormat="false" ht="15" hidden="false" customHeight="false" outlineLevel="0" collapsed="false">
      <c r="A17" s="4" t="s">
        <v>12</v>
      </c>
      <c r="B17" s="7" t="n">
        <f aca="false">B14+B15</f>
        <v>105600</v>
      </c>
    </row>
    <row r="18" customFormat="false" ht="15" hidden="false" customHeight="false" outlineLevel="0" collapsed="false">
      <c r="A18" s="4" t="s">
        <v>13</v>
      </c>
      <c r="B18" s="8" t="n">
        <f aca="false">SUM('Income Statement'!H4:H1000)</f>
        <v>15000</v>
      </c>
    </row>
    <row r="19" customFormat="false" ht="15" hidden="false" customHeight="false" outlineLevel="0" collapsed="false">
      <c r="A19" s="4" t="s">
        <v>14</v>
      </c>
      <c r="B19" s="7" t="n">
        <f aca="false">B16+B17</f>
        <v>110600</v>
      </c>
    </row>
    <row r="20" customFormat="false" ht="15" hidden="false" customHeight="false" outlineLevel="0" collapsed="false">
      <c r="A20" s="4" t="s">
        <v>15</v>
      </c>
      <c r="B20" s="6" t="n">
        <f aca="false">IF(B10&gt;0,(B18*12)/B10,0)</f>
        <v>0.06</v>
      </c>
    </row>
    <row r="22" customFormat="false" ht="15" hidden="false" customHeight="false" outlineLevel="0" collapsed="false">
      <c r="A22" s="9" t="s">
        <v>16</v>
      </c>
      <c r="B22" s="9"/>
      <c r="C22" s="9"/>
      <c r="D22" s="9"/>
    </row>
    <row r="24" customFormat="false" ht="15" hidden="false" customHeight="false" outlineLevel="0" collapsed="false">
      <c r="A24" s="4" t="s">
        <v>17</v>
      </c>
      <c r="B24" s="5" t="n">
        <f aca="true">COUNTIFS('Lease Schedule'!E4:E1000,"&lt;="&amp;(TODAY()+60),'Lease Schedule'!E4:E1000,"&gt;="&amp;TODAY())</f>
        <v>22</v>
      </c>
    </row>
    <row r="25" customFormat="false" ht="15" hidden="false" customHeight="false" outlineLevel="0" collapsed="false">
      <c r="A25" s="4" t="s">
        <v>18</v>
      </c>
      <c r="B25" s="5" t="n">
        <f aca="false">COUNTIF('Unit Inventory'!E4:E1000,"Vacant")</f>
        <v>2</v>
      </c>
    </row>
    <row r="26" customFormat="false" ht="15" hidden="false" customHeight="false" outlineLevel="0" collapsed="false">
      <c r="A26" s="4" t="s">
        <v>19</v>
      </c>
      <c r="B26" s="5" t="n">
        <f aca="false">COUNTIF('Maintenance Tracker'!G4:G1000,"Open")</f>
        <v>2</v>
      </c>
    </row>
    <row r="27" customFormat="false" ht="15" hidden="false" customHeight="false" outlineLevel="0" collapsed="false">
      <c r="A27" s="4" t="s">
        <v>20</v>
      </c>
      <c r="B27" s="5" t="n">
        <f aca="false">COUNTIF('ROI Analysis'!G4:G1000,"&lt;0.9")</f>
        <v>0</v>
      </c>
    </row>
  </sheetData>
  <mergeCells count="5">
    <mergeCell ref="A1:D1"/>
    <mergeCell ref="A2:D2"/>
    <mergeCell ref="A4:D4"/>
    <mergeCell ref="A13:D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  <col collapsed="false" customWidth="true" hidden="false" outlineLevel="0" max="13" min="7" style="0" width="15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4</v>
      </c>
      <c r="I3" s="10" t="s">
        <v>28</v>
      </c>
      <c r="J3" s="10" t="s">
        <v>29</v>
      </c>
      <c r="K3" s="10" t="s">
        <v>30</v>
      </c>
      <c r="L3" s="10" t="s">
        <v>31</v>
      </c>
      <c r="M3" s="10" t="s">
        <v>32</v>
      </c>
    </row>
    <row r="4" customFormat="false" ht="15" hidden="false" customHeight="false" outlineLevel="0" collapsed="false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n">
        <v>24</v>
      </c>
      <c r="I4" s="12" t="n">
        <v>3000000</v>
      </c>
      <c r="J4" s="13" t="n">
        <v>44941</v>
      </c>
      <c r="K4" s="12" t="n">
        <v>3200000</v>
      </c>
      <c r="L4" s="1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0" t="s">
        <v>48</v>
      </c>
    </row>
    <row r="4" customFormat="false" ht="15" hidden="false" customHeight="false" outlineLevel="0" collapsed="false">
      <c r="A4" s="11" t="s">
        <v>33</v>
      </c>
      <c r="B4" s="5" t="str">
        <f aca="false">'Property Master'!B4</f>
        <v>Maple Apartments</v>
      </c>
      <c r="C4" s="11" t="s">
        <v>39</v>
      </c>
      <c r="D4" s="1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50</v>
      </c>
      <c r="D3" s="10" t="s">
        <v>51</v>
      </c>
      <c r="E3" s="10" t="s">
        <v>31</v>
      </c>
      <c r="F3" s="10" t="s">
        <v>52</v>
      </c>
      <c r="G3" s="10" t="s">
        <v>53</v>
      </c>
      <c r="H3" s="10" t="s">
        <v>54</v>
      </c>
      <c r="I3" s="10" t="s">
        <v>55</v>
      </c>
      <c r="J3" s="10" t="s">
        <v>56</v>
      </c>
      <c r="K3" s="10" t="s">
        <v>57</v>
      </c>
      <c r="L3" s="10" t="s">
        <v>58</v>
      </c>
      <c r="M3" s="10" t="s">
        <v>59</v>
      </c>
      <c r="N3" s="10" t="s">
        <v>60</v>
      </c>
      <c r="O3" s="10" t="s">
        <v>32</v>
      </c>
    </row>
    <row r="4" customFormat="false" ht="15" hidden="false" customHeight="false" outlineLevel="0" collapsed="false">
      <c r="A4" s="11" t="s">
        <v>33</v>
      </c>
      <c r="B4" s="5" t="str">
        <f aca="false">'Property Master'!B4</f>
        <v>Maple Apartments</v>
      </c>
      <c r="C4" s="11" t="s">
        <v>61</v>
      </c>
      <c r="D4" s="11" t="s">
        <v>62</v>
      </c>
      <c r="E4" s="11" t="s">
        <v>58</v>
      </c>
      <c r="F4" s="11" t="n">
        <v>1</v>
      </c>
      <c r="G4" s="11" t="n">
        <v>1</v>
      </c>
      <c r="H4" s="11" t="n">
        <v>650</v>
      </c>
      <c r="I4" s="12" t="n">
        <v>2500</v>
      </c>
      <c r="J4" s="12" t="n">
        <v>2400</v>
      </c>
      <c r="L4" s="14" t="n">
        <f aca="false">IF(E4="Occupied",1,0)</f>
        <v>1</v>
      </c>
      <c r="M4" s="11" t="n">
        <f aca="false">IF(E4="Vacant",30,0)</f>
        <v>0</v>
      </c>
    </row>
    <row r="5" customFormat="false" ht="15" hidden="false" customHeight="false" outlineLevel="0" collapsed="false">
      <c r="A5" s="11" t="s">
        <v>33</v>
      </c>
      <c r="B5" s="5" t="str">
        <f aca="false">'Property Master'!B4</f>
        <v>Maple Apartments</v>
      </c>
      <c r="C5" s="11" t="s">
        <v>63</v>
      </c>
      <c r="D5" s="11" t="s">
        <v>62</v>
      </c>
      <c r="E5" s="11" t="s">
        <v>58</v>
      </c>
      <c r="F5" s="11" t="n">
        <v>1</v>
      </c>
      <c r="G5" s="11" t="n">
        <v>1</v>
      </c>
      <c r="H5" s="11" t="n">
        <v>650</v>
      </c>
      <c r="I5" s="12" t="n">
        <v>2500</v>
      </c>
      <c r="J5" s="12" t="n">
        <v>2400</v>
      </c>
      <c r="L5" s="14" t="n">
        <f aca="false">IF(E5="Occupied",1,0)</f>
        <v>1</v>
      </c>
      <c r="M5" s="11" t="n">
        <f aca="false">IF(E5="Vacant",30,0)</f>
        <v>0</v>
      </c>
    </row>
    <row r="6" customFormat="false" ht="15" hidden="false" customHeight="false" outlineLevel="0" collapsed="false">
      <c r="A6" s="11" t="s">
        <v>33</v>
      </c>
      <c r="B6" s="5" t="str">
        <f aca="false">'Property Master'!B4</f>
        <v>Maple Apartments</v>
      </c>
      <c r="C6" s="11" t="s">
        <v>64</v>
      </c>
      <c r="D6" s="11" t="s">
        <v>62</v>
      </c>
      <c r="E6" s="11" t="s">
        <v>58</v>
      </c>
      <c r="F6" s="11" t="n">
        <v>1</v>
      </c>
      <c r="G6" s="11" t="n">
        <v>1</v>
      </c>
      <c r="H6" s="11" t="n">
        <v>650</v>
      </c>
      <c r="I6" s="12" t="n">
        <v>2500</v>
      </c>
      <c r="J6" s="12" t="n">
        <v>2400</v>
      </c>
      <c r="L6" s="14" t="n">
        <f aca="false">IF(E6="Occupied",1,0)</f>
        <v>1</v>
      </c>
      <c r="M6" s="11" t="n">
        <f aca="false">IF(E6="Vacant",30,0)</f>
        <v>0</v>
      </c>
    </row>
    <row r="7" customFormat="false" ht="15" hidden="false" customHeight="false" outlineLevel="0" collapsed="false">
      <c r="A7" s="11" t="s">
        <v>33</v>
      </c>
      <c r="B7" s="5" t="str">
        <f aca="false">'Property Master'!B4</f>
        <v>Maple Apartments</v>
      </c>
      <c r="C7" s="11" t="s">
        <v>65</v>
      </c>
      <c r="D7" s="11" t="s">
        <v>62</v>
      </c>
      <c r="E7" s="11" t="s">
        <v>58</v>
      </c>
      <c r="F7" s="11" t="n">
        <v>1</v>
      </c>
      <c r="G7" s="11" t="n">
        <v>1</v>
      </c>
      <c r="H7" s="11" t="n">
        <v>650</v>
      </c>
      <c r="I7" s="12" t="n">
        <v>2500</v>
      </c>
      <c r="J7" s="12" t="n">
        <v>2400</v>
      </c>
      <c r="L7" s="14" t="n">
        <f aca="false">IF(E7="Occupied",1,0)</f>
        <v>1</v>
      </c>
      <c r="M7" s="11" t="n">
        <f aca="false">IF(E7="Vacant",30,0)</f>
        <v>0</v>
      </c>
    </row>
    <row r="8" customFormat="false" ht="15" hidden="false" customHeight="false" outlineLevel="0" collapsed="false">
      <c r="A8" s="11" t="s">
        <v>33</v>
      </c>
      <c r="B8" s="5" t="str">
        <f aca="false">'Property Master'!B4</f>
        <v>Maple Apartments</v>
      </c>
      <c r="C8" s="11" t="s">
        <v>66</v>
      </c>
      <c r="D8" s="11" t="s">
        <v>62</v>
      </c>
      <c r="E8" s="11" t="s">
        <v>58</v>
      </c>
      <c r="F8" s="11" t="n">
        <v>1</v>
      </c>
      <c r="G8" s="11" t="n">
        <v>1</v>
      </c>
      <c r="H8" s="11" t="n">
        <v>650</v>
      </c>
      <c r="I8" s="12" t="n">
        <v>2500</v>
      </c>
      <c r="J8" s="12" t="n">
        <v>2400</v>
      </c>
      <c r="L8" s="14" t="n">
        <f aca="false">IF(E8="Occupied",1,0)</f>
        <v>1</v>
      </c>
      <c r="M8" s="11" t="n">
        <f aca="false">IF(E8="Vacant",30,0)</f>
        <v>0</v>
      </c>
    </row>
    <row r="9" customFormat="false" ht="15" hidden="false" customHeight="false" outlineLevel="0" collapsed="false">
      <c r="A9" s="11" t="s">
        <v>33</v>
      </c>
      <c r="B9" s="5" t="str">
        <f aca="false">'Property Master'!B4</f>
        <v>Maple Apartments</v>
      </c>
      <c r="C9" s="11" t="s">
        <v>67</v>
      </c>
      <c r="D9" s="11" t="s">
        <v>62</v>
      </c>
      <c r="E9" s="11" t="s">
        <v>58</v>
      </c>
      <c r="F9" s="11" t="n">
        <v>1</v>
      </c>
      <c r="G9" s="11" t="n">
        <v>1</v>
      </c>
      <c r="H9" s="11" t="n">
        <v>650</v>
      </c>
      <c r="I9" s="12" t="n">
        <v>2500</v>
      </c>
      <c r="J9" s="12" t="n">
        <v>2400</v>
      </c>
      <c r="L9" s="14" t="n">
        <f aca="false">IF(E9="Occupied",1,0)</f>
        <v>1</v>
      </c>
      <c r="M9" s="11" t="n">
        <f aca="false">IF(E9="Vacant",30,0)</f>
        <v>0</v>
      </c>
    </row>
    <row r="10" customFormat="false" ht="15" hidden="false" customHeight="false" outlineLevel="0" collapsed="false">
      <c r="A10" s="11" t="s">
        <v>33</v>
      </c>
      <c r="B10" s="5" t="str">
        <f aca="false">'Property Master'!B4</f>
        <v>Maple Apartments</v>
      </c>
      <c r="C10" s="11" t="s">
        <v>68</v>
      </c>
      <c r="D10" s="11" t="s">
        <v>62</v>
      </c>
      <c r="E10" s="11" t="s">
        <v>58</v>
      </c>
      <c r="F10" s="11" t="n">
        <v>1</v>
      </c>
      <c r="G10" s="11" t="n">
        <v>1</v>
      </c>
      <c r="H10" s="11" t="n">
        <v>650</v>
      </c>
      <c r="I10" s="12" t="n">
        <v>2500</v>
      </c>
      <c r="J10" s="12" t="n">
        <v>2400</v>
      </c>
      <c r="L10" s="14" t="n">
        <f aca="false">IF(E10="Occupied",1,0)</f>
        <v>1</v>
      </c>
      <c r="M10" s="11" t="n">
        <f aca="false">IF(E10="Vacant",30,0)</f>
        <v>0</v>
      </c>
    </row>
    <row r="11" customFormat="false" ht="15" hidden="false" customHeight="false" outlineLevel="0" collapsed="false">
      <c r="A11" s="11" t="s">
        <v>33</v>
      </c>
      <c r="B11" s="5" t="str">
        <f aca="false">'Property Master'!B4</f>
        <v>Maple Apartments</v>
      </c>
      <c r="C11" s="11" t="s">
        <v>69</v>
      </c>
      <c r="D11" s="11" t="s">
        <v>62</v>
      </c>
      <c r="E11" s="11" t="s">
        <v>58</v>
      </c>
      <c r="F11" s="11" t="n">
        <v>1</v>
      </c>
      <c r="G11" s="11" t="n">
        <v>1</v>
      </c>
      <c r="H11" s="11" t="n">
        <v>650</v>
      </c>
      <c r="I11" s="12" t="n">
        <v>2500</v>
      </c>
      <c r="J11" s="12" t="n">
        <v>2400</v>
      </c>
      <c r="L11" s="14" t="n">
        <f aca="false">IF(E11="Occupied",1,0)</f>
        <v>1</v>
      </c>
      <c r="M11" s="11" t="n">
        <f aca="false">IF(E11="Vacant",30,0)</f>
        <v>0</v>
      </c>
    </row>
    <row r="12" customFormat="false" ht="15" hidden="false" customHeight="false" outlineLevel="0" collapsed="false">
      <c r="A12" s="11" t="s">
        <v>33</v>
      </c>
      <c r="B12" s="5" t="str">
        <f aca="false">'Property Master'!B4</f>
        <v>Maple Apartments</v>
      </c>
      <c r="C12" s="11" t="s">
        <v>70</v>
      </c>
      <c r="D12" s="11" t="s">
        <v>62</v>
      </c>
      <c r="E12" s="11" t="s">
        <v>58</v>
      </c>
      <c r="F12" s="11" t="n">
        <v>1</v>
      </c>
      <c r="G12" s="11" t="n">
        <v>1</v>
      </c>
      <c r="H12" s="11" t="n">
        <v>650</v>
      </c>
      <c r="I12" s="12" t="n">
        <v>2500</v>
      </c>
      <c r="J12" s="12" t="n">
        <v>2400</v>
      </c>
      <c r="L12" s="14" t="n">
        <f aca="false">IF(E12="Occupied",1,0)</f>
        <v>1</v>
      </c>
      <c r="M12" s="11" t="n">
        <f aca="false">IF(E12="Vacant",30,0)</f>
        <v>0</v>
      </c>
    </row>
    <row r="13" customFormat="false" ht="15" hidden="false" customHeight="false" outlineLevel="0" collapsed="false">
      <c r="A13" s="11" t="s">
        <v>33</v>
      </c>
      <c r="B13" s="5" t="str">
        <f aca="false">'Property Master'!B4</f>
        <v>Maple Apartments</v>
      </c>
      <c r="C13" s="11" t="s">
        <v>71</v>
      </c>
      <c r="D13" s="11" t="s">
        <v>62</v>
      </c>
      <c r="E13" s="11" t="s">
        <v>58</v>
      </c>
      <c r="F13" s="11" t="n">
        <v>1</v>
      </c>
      <c r="G13" s="11" t="n">
        <v>1</v>
      </c>
      <c r="H13" s="11" t="n">
        <v>650</v>
      </c>
      <c r="I13" s="12" t="n">
        <v>2500</v>
      </c>
      <c r="J13" s="12" t="n">
        <v>2400</v>
      </c>
      <c r="L13" s="14" t="n">
        <f aca="false">IF(E13="Occupied",1,0)</f>
        <v>1</v>
      </c>
      <c r="M13" s="11" t="n">
        <f aca="false">IF(E13="Vacant",30,0)</f>
        <v>0</v>
      </c>
    </row>
    <row r="14" customFormat="false" ht="15" hidden="false" customHeight="false" outlineLevel="0" collapsed="false">
      <c r="A14" s="11" t="s">
        <v>33</v>
      </c>
      <c r="B14" s="5" t="str">
        <f aca="false">'Property Master'!B4</f>
        <v>Maple Apartments</v>
      </c>
      <c r="C14" s="11" t="s">
        <v>72</v>
      </c>
      <c r="D14" s="11" t="s">
        <v>62</v>
      </c>
      <c r="E14" s="11" t="s">
        <v>58</v>
      </c>
      <c r="F14" s="11" t="n">
        <v>1</v>
      </c>
      <c r="G14" s="11" t="n">
        <v>1</v>
      </c>
      <c r="H14" s="11" t="n">
        <v>650</v>
      </c>
      <c r="I14" s="12" t="n">
        <v>2500</v>
      </c>
      <c r="J14" s="12" t="n">
        <v>2400</v>
      </c>
      <c r="L14" s="14" t="n">
        <f aca="false">IF(E14="Occupied",1,0)</f>
        <v>1</v>
      </c>
      <c r="M14" s="11" t="n">
        <f aca="false">IF(E14="Vacant",30,0)</f>
        <v>0</v>
      </c>
    </row>
    <row r="15" customFormat="false" ht="15" hidden="false" customHeight="false" outlineLevel="0" collapsed="false">
      <c r="A15" s="11" t="s">
        <v>33</v>
      </c>
      <c r="B15" s="5" t="str">
        <f aca="false">'Property Master'!B4</f>
        <v>Maple Apartments</v>
      </c>
      <c r="C15" s="11" t="s">
        <v>73</v>
      </c>
      <c r="D15" s="11" t="s">
        <v>62</v>
      </c>
      <c r="E15" s="11" t="s">
        <v>58</v>
      </c>
      <c r="F15" s="11" t="n">
        <v>1</v>
      </c>
      <c r="G15" s="11" t="n">
        <v>1</v>
      </c>
      <c r="H15" s="11" t="n">
        <v>650</v>
      </c>
      <c r="I15" s="12" t="n">
        <v>2500</v>
      </c>
      <c r="J15" s="12" t="n">
        <v>2400</v>
      </c>
      <c r="L15" s="14" t="n">
        <f aca="false">IF(E15="Occupied",1,0)</f>
        <v>1</v>
      </c>
      <c r="M15" s="11" t="n">
        <f aca="false">IF(E15="Vacant",30,0)</f>
        <v>0</v>
      </c>
    </row>
    <row r="16" customFormat="false" ht="15" hidden="false" customHeight="false" outlineLevel="0" collapsed="false">
      <c r="A16" s="11" t="s">
        <v>33</v>
      </c>
      <c r="B16" s="5" t="str">
        <f aca="false">'Property Master'!B4</f>
        <v>Maple Apartments</v>
      </c>
      <c r="C16" s="11" t="s">
        <v>74</v>
      </c>
      <c r="D16" s="11" t="s">
        <v>62</v>
      </c>
      <c r="E16" s="11" t="s">
        <v>58</v>
      </c>
      <c r="F16" s="11" t="n">
        <v>1</v>
      </c>
      <c r="G16" s="11" t="n">
        <v>1</v>
      </c>
      <c r="H16" s="11" t="n">
        <v>650</v>
      </c>
      <c r="I16" s="12" t="n">
        <v>2500</v>
      </c>
      <c r="J16" s="12" t="n">
        <v>2400</v>
      </c>
      <c r="L16" s="14" t="n">
        <f aca="false">IF(E16="Occupied",1,0)</f>
        <v>1</v>
      </c>
      <c r="M16" s="11" t="n">
        <f aca="false">IF(E16="Vacant",30,0)</f>
        <v>0</v>
      </c>
    </row>
    <row r="17" customFormat="false" ht="15" hidden="false" customHeight="false" outlineLevel="0" collapsed="false">
      <c r="A17" s="11" t="s">
        <v>33</v>
      </c>
      <c r="B17" s="5" t="str">
        <f aca="false">'Property Master'!B4</f>
        <v>Maple Apartments</v>
      </c>
      <c r="C17" s="11" t="s">
        <v>75</v>
      </c>
      <c r="D17" s="11" t="s">
        <v>62</v>
      </c>
      <c r="E17" s="11" t="s">
        <v>58</v>
      </c>
      <c r="F17" s="11" t="n">
        <v>1</v>
      </c>
      <c r="G17" s="11" t="n">
        <v>1</v>
      </c>
      <c r="H17" s="11" t="n">
        <v>650</v>
      </c>
      <c r="I17" s="12" t="n">
        <v>2500</v>
      </c>
      <c r="J17" s="12" t="n">
        <v>2400</v>
      </c>
      <c r="L17" s="14" t="n">
        <f aca="false">IF(E17="Occupied",1,0)</f>
        <v>1</v>
      </c>
      <c r="M17" s="11" t="n">
        <f aca="false">IF(E17="Vacant",30,0)</f>
        <v>0</v>
      </c>
    </row>
    <row r="18" customFormat="false" ht="15" hidden="false" customHeight="false" outlineLevel="0" collapsed="false">
      <c r="A18" s="11" t="s">
        <v>33</v>
      </c>
      <c r="B18" s="5" t="str">
        <f aca="false">'Property Master'!B4</f>
        <v>Maple Apartments</v>
      </c>
      <c r="C18" s="11" t="s">
        <v>76</v>
      </c>
      <c r="D18" s="11" t="s">
        <v>62</v>
      </c>
      <c r="E18" s="11" t="s">
        <v>58</v>
      </c>
      <c r="F18" s="11" t="n">
        <v>1</v>
      </c>
      <c r="G18" s="11" t="n">
        <v>1</v>
      </c>
      <c r="H18" s="11" t="n">
        <v>650</v>
      </c>
      <c r="I18" s="12" t="n">
        <v>2500</v>
      </c>
      <c r="J18" s="12" t="n">
        <v>2400</v>
      </c>
      <c r="L18" s="14" t="n">
        <f aca="false">IF(E18="Occupied",1,0)</f>
        <v>1</v>
      </c>
      <c r="M18" s="11" t="n">
        <f aca="false">IF(E18="Vacant",30,0)</f>
        <v>0</v>
      </c>
    </row>
    <row r="19" customFormat="false" ht="15" hidden="false" customHeight="false" outlineLevel="0" collapsed="false">
      <c r="A19" s="11" t="s">
        <v>33</v>
      </c>
      <c r="B19" s="5" t="str">
        <f aca="false">'Property Master'!B4</f>
        <v>Maple Apartments</v>
      </c>
      <c r="C19" s="11" t="s">
        <v>77</v>
      </c>
      <c r="D19" s="11" t="s">
        <v>62</v>
      </c>
      <c r="E19" s="11" t="s">
        <v>58</v>
      </c>
      <c r="F19" s="11" t="n">
        <v>1</v>
      </c>
      <c r="G19" s="11" t="n">
        <v>1</v>
      </c>
      <c r="H19" s="11" t="n">
        <v>650</v>
      </c>
      <c r="I19" s="12" t="n">
        <v>2500</v>
      </c>
      <c r="J19" s="12" t="n">
        <v>2400</v>
      </c>
      <c r="L19" s="14" t="n">
        <f aca="false">IF(E19="Occupied",1,0)</f>
        <v>1</v>
      </c>
      <c r="M19" s="11" t="n">
        <f aca="false">IF(E19="Vacant",30,0)</f>
        <v>0</v>
      </c>
    </row>
    <row r="20" customFormat="false" ht="15" hidden="false" customHeight="false" outlineLevel="0" collapsed="false">
      <c r="A20" s="11" t="s">
        <v>33</v>
      </c>
      <c r="B20" s="5" t="str">
        <f aca="false">'Property Master'!B4</f>
        <v>Maple Apartments</v>
      </c>
      <c r="C20" s="11" t="s">
        <v>78</v>
      </c>
      <c r="D20" s="11" t="s">
        <v>62</v>
      </c>
      <c r="E20" s="11" t="s">
        <v>58</v>
      </c>
      <c r="F20" s="11" t="n">
        <v>1</v>
      </c>
      <c r="G20" s="11" t="n">
        <v>1</v>
      </c>
      <c r="H20" s="11" t="n">
        <v>650</v>
      </c>
      <c r="I20" s="12" t="n">
        <v>2500</v>
      </c>
      <c r="J20" s="12" t="n">
        <v>2400</v>
      </c>
      <c r="L20" s="14" t="n">
        <f aca="false">IF(E20="Occupied",1,0)</f>
        <v>1</v>
      </c>
      <c r="M20" s="11" t="n">
        <f aca="false">IF(E20="Vacant",30,0)</f>
        <v>0</v>
      </c>
    </row>
    <row r="21" customFormat="false" ht="15" hidden="false" customHeight="false" outlineLevel="0" collapsed="false">
      <c r="A21" s="11" t="s">
        <v>33</v>
      </c>
      <c r="B21" s="5" t="str">
        <f aca="false">'Property Master'!B4</f>
        <v>Maple Apartments</v>
      </c>
      <c r="C21" s="11" t="s">
        <v>79</v>
      </c>
      <c r="D21" s="11" t="s">
        <v>62</v>
      </c>
      <c r="E21" s="11" t="s">
        <v>58</v>
      </c>
      <c r="F21" s="11" t="n">
        <v>1</v>
      </c>
      <c r="G21" s="11" t="n">
        <v>1</v>
      </c>
      <c r="H21" s="11" t="n">
        <v>650</v>
      </c>
      <c r="I21" s="12" t="n">
        <v>2500</v>
      </c>
      <c r="J21" s="12" t="n">
        <v>2400</v>
      </c>
      <c r="L21" s="14" t="n">
        <f aca="false">IF(E21="Occupied",1,0)</f>
        <v>1</v>
      </c>
      <c r="M21" s="11" t="n">
        <f aca="false">IF(E21="Vacant",30,0)</f>
        <v>0</v>
      </c>
    </row>
    <row r="22" customFormat="false" ht="15" hidden="false" customHeight="false" outlineLevel="0" collapsed="false">
      <c r="A22" s="11" t="s">
        <v>33</v>
      </c>
      <c r="B22" s="5" t="str">
        <f aca="false">'Property Master'!B4</f>
        <v>Maple Apartments</v>
      </c>
      <c r="C22" s="11" t="s">
        <v>80</v>
      </c>
      <c r="D22" s="11" t="s">
        <v>62</v>
      </c>
      <c r="E22" s="11" t="s">
        <v>58</v>
      </c>
      <c r="F22" s="11" t="n">
        <v>1</v>
      </c>
      <c r="G22" s="11" t="n">
        <v>1</v>
      </c>
      <c r="H22" s="11" t="n">
        <v>650</v>
      </c>
      <c r="I22" s="12" t="n">
        <v>2500</v>
      </c>
      <c r="J22" s="12" t="n">
        <v>2400</v>
      </c>
      <c r="L22" s="14" t="n">
        <f aca="false">IF(E22="Occupied",1,0)</f>
        <v>1</v>
      </c>
      <c r="M22" s="11" t="n">
        <f aca="false">IF(E22="Vacant",30,0)</f>
        <v>0</v>
      </c>
    </row>
    <row r="23" customFormat="false" ht="15" hidden="false" customHeight="false" outlineLevel="0" collapsed="false">
      <c r="A23" s="11" t="s">
        <v>33</v>
      </c>
      <c r="B23" s="5" t="str">
        <f aca="false">'Property Master'!B4</f>
        <v>Maple Apartments</v>
      </c>
      <c r="C23" s="11" t="s">
        <v>81</v>
      </c>
      <c r="D23" s="11" t="s">
        <v>62</v>
      </c>
      <c r="E23" s="11" t="s">
        <v>58</v>
      </c>
      <c r="F23" s="11" t="n">
        <v>1</v>
      </c>
      <c r="G23" s="11" t="n">
        <v>1</v>
      </c>
      <c r="H23" s="11" t="n">
        <v>650</v>
      </c>
      <c r="I23" s="12" t="n">
        <v>2500</v>
      </c>
      <c r="J23" s="12" t="n">
        <v>2400</v>
      </c>
      <c r="L23" s="14" t="n">
        <f aca="false">IF(E23="Occupied",1,0)</f>
        <v>1</v>
      </c>
      <c r="M23" s="11" t="n">
        <f aca="false">IF(E23="Vacant",30,0)</f>
        <v>0</v>
      </c>
    </row>
    <row r="24" customFormat="false" ht="15" hidden="false" customHeight="false" outlineLevel="0" collapsed="false">
      <c r="A24" s="11" t="s">
        <v>33</v>
      </c>
      <c r="B24" s="5" t="str">
        <f aca="false">'Property Master'!B4</f>
        <v>Maple Apartments</v>
      </c>
      <c r="C24" s="11" t="s">
        <v>82</v>
      </c>
      <c r="D24" s="11" t="s">
        <v>62</v>
      </c>
      <c r="E24" s="11" t="s">
        <v>58</v>
      </c>
      <c r="F24" s="11" t="n">
        <v>1</v>
      </c>
      <c r="G24" s="11" t="n">
        <v>1</v>
      </c>
      <c r="H24" s="11" t="n">
        <v>650</v>
      </c>
      <c r="I24" s="12" t="n">
        <v>2500</v>
      </c>
      <c r="J24" s="12" t="n">
        <v>2400</v>
      </c>
      <c r="L24" s="14" t="n">
        <f aca="false">IF(E24="Occupied",1,0)</f>
        <v>1</v>
      </c>
      <c r="M24" s="11" t="n">
        <f aca="false">IF(E24="Vacant",30,0)</f>
        <v>0</v>
      </c>
    </row>
    <row r="25" customFormat="false" ht="15" hidden="false" customHeight="false" outlineLevel="0" collapsed="false">
      <c r="A25" s="11" t="s">
        <v>33</v>
      </c>
      <c r="B25" s="5" t="str">
        <f aca="false">'Property Master'!B4</f>
        <v>Maple Apartments</v>
      </c>
      <c r="C25" s="11" t="s">
        <v>83</v>
      </c>
      <c r="D25" s="11" t="s">
        <v>62</v>
      </c>
      <c r="E25" s="11" t="s">
        <v>58</v>
      </c>
      <c r="F25" s="11" t="n">
        <v>1</v>
      </c>
      <c r="G25" s="11" t="n">
        <v>1</v>
      </c>
      <c r="H25" s="11" t="n">
        <v>650</v>
      </c>
      <c r="I25" s="12" t="n">
        <v>2500</v>
      </c>
      <c r="J25" s="12" t="n">
        <v>2400</v>
      </c>
      <c r="L25" s="14" t="n">
        <f aca="false">IF(E25="Occupied",1,0)</f>
        <v>1</v>
      </c>
      <c r="M25" s="11" t="n">
        <f aca="false">IF(E25="Vacant",30,0)</f>
        <v>0</v>
      </c>
    </row>
    <row r="26" customFormat="false" ht="15" hidden="false" customHeight="false" outlineLevel="0" collapsed="false">
      <c r="A26" s="11" t="s">
        <v>33</v>
      </c>
      <c r="B26" s="5" t="str">
        <f aca="false">'Property Master'!B4</f>
        <v>Maple Apartments</v>
      </c>
      <c r="C26" s="11" t="s">
        <v>84</v>
      </c>
      <c r="D26" s="11" t="s">
        <v>62</v>
      </c>
      <c r="E26" s="11" t="s">
        <v>85</v>
      </c>
      <c r="F26" s="11" t="n">
        <v>1</v>
      </c>
      <c r="G26" s="11" t="n">
        <v>1</v>
      </c>
      <c r="H26" s="11" t="n">
        <v>650</v>
      </c>
      <c r="I26" s="12" t="n">
        <v>2500</v>
      </c>
      <c r="J26" s="15" t="n">
        <v>0</v>
      </c>
      <c r="L26" s="14" t="n">
        <f aca="false">IF(E26="Occupied",1,0)</f>
        <v>0</v>
      </c>
      <c r="M26" s="14" t="n">
        <f aca="false">IF(E26="Vacant",30,0)</f>
        <v>30</v>
      </c>
    </row>
    <row r="27" customFormat="false" ht="15" hidden="false" customHeight="false" outlineLevel="0" collapsed="false">
      <c r="A27" s="11" t="s">
        <v>33</v>
      </c>
      <c r="B27" s="5" t="str">
        <f aca="false">'Property Master'!B4</f>
        <v>Maple Apartments</v>
      </c>
      <c r="C27" s="11" t="s">
        <v>86</v>
      </c>
      <c r="D27" s="11" t="s">
        <v>62</v>
      </c>
      <c r="E27" s="11" t="s">
        <v>85</v>
      </c>
      <c r="F27" s="11" t="n">
        <v>1</v>
      </c>
      <c r="G27" s="11" t="n">
        <v>1</v>
      </c>
      <c r="H27" s="11" t="n">
        <v>650</v>
      </c>
      <c r="I27" s="12" t="n">
        <v>2500</v>
      </c>
      <c r="J27" s="15" t="n">
        <v>0</v>
      </c>
      <c r="L27" s="14" t="n">
        <f aca="false">IF(E27="Occupied",1,0)</f>
        <v>0</v>
      </c>
      <c r="M27" s="14" t="n">
        <f aca="false">IF(E27="Vacant",30,0)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5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87</v>
      </c>
      <c r="D3" s="10" t="s">
        <v>57</v>
      </c>
      <c r="E3" s="10" t="s">
        <v>44</v>
      </c>
      <c r="F3" s="10" t="s">
        <v>45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93</v>
      </c>
      <c r="M3" s="10" t="s">
        <v>32</v>
      </c>
    </row>
    <row r="4" customFormat="false" ht="15" hidden="false" customHeight="false" outlineLevel="0" collapsed="false">
      <c r="A4" s="11" t="s">
        <v>33</v>
      </c>
      <c r="B4" s="5" t="str">
        <f aca="false">'Property Master'!B4</f>
        <v>Maple Apartments</v>
      </c>
      <c r="C4" s="11" t="s">
        <v>61</v>
      </c>
      <c r="D4" s="11" t="s">
        <v>94</v>
      </c>
      <c r="E4" s="13" t="n">
        <v>45292</v>
      </c>
      <c r="F4" s="13" t="n">
        <v>46022</v>
      </c>
      <c r="G4" s="12" t="n">
        <v>2400</v>
      </c>
      <c r="H4" s="12" t="n">
        <v>2400</v>
      </c>
      <c r="I4" s="11" t="n">
        <v>720</v>
      </c>
      <c r="J4" s="15" t="n">
        <f aca="false">G4</f>
        <v>2400</v>
      </c>
      <c r="K4" s="15" t="n">
        <f aca="false">G4*12</f>
        <v>28800</v>
      </c>
      <c r="L4" s="11" t="s">
        <v>40</v>
      </c>
    </row>
    <row r="5" customFormat="false" ht="15" hidden="false" customHeight="false" outlineLevel="0" collapsed="false">
      <c r="A5" s="11" t="s">
        <v>33</v>
      </c>
      <c r="B5" s="5" t="str">
        <f aca="false">'Property Master'!B4</f>
        <v>Maple Apartments</v>
      </c>
      <c r="C5" s="11" t="s">
        <v>63</v>
      </c>
      <c r="D5" s="11" t="s">
        <v>95</v>
      </c>
      <c r="E5" s="13" t="n">
        <v>45292</v>
      </c>
      <c r="F5" s="13" t="n">
        <v>46022</v>
      </c>
      <c r="G5" s="12" t="n">
        <v>2400</v>
      </c>
      <c r="H5" s="12" t="n">
        <v>2400</v>
      </c>
      <c r="I5" s="11" t="n">
        <v>720</v>
      </c>
      <c r="J5" s="15" t="n">
        <f aca="false">G5</f>
        <v>2400</v>
      </c>
      <c r="K5" s="15" t="n">
        <f aca="false">G5*12</f>
        <v>28800</v>
      </c>
      <c r="L5" s="11" t="s">
        <v>40</v>
      </c>
    </row>
    <row r="6" customFormat="false" ht="15" hidden="false" customHeight="false" outlineLevel="0" collapsed="false">
      <c r="A6" s="11" t="s">
        <v>33</v>
      </c>
      <c r="B6" s="5" t="str">
        <f aca="false">'Property Master'!B4</f>
        <v>Maple Apartments</v>
      </c>
      <c r="C6" s="11" t="s">
        <v>64</v>
      </c>
      <c r="D6" s="11" t="s">
        <v>96</v>
      </c>
      <c r="E6" s="13" t="n">
        <v>45292</v>
      </c>
      <c r="F6" s="13" t="n">
        <v>46022</v>
      </c>
      <c r="G6" s="12" t="n">
        <v>2400</v>
      </c>
      <c r="H6" s="12" t="n">
        <v>2400</v>
      </c>
      <c r="I6" s="11" t="n">
        <v>720</v>
      </c>
      <c r="J6" s="15" t="n">
        <f aca="false">G6</f>
        <v>2400</v>
      </c>
      <c r="K6" s="15" t="n">
        <f aca="false">G6*12</f>
        <v>28800</v>
      </c>
      <c r="L6" s="11" t="s">
        <v>40</v>
      </c>
    </row>
    <row r="7" customFormat="false" ht="15" hidden="false" customHeight="false" outlineLevel="0" collapsed="false">
      <c r="A7" s="11" t="s">
        <v>33</v>
      </c>
      <c r="B7" s="5" t="str">
        <f aca="false">'Property Master'!B4</f>
        <v>Maple Apartments</v>
      </c>
      <c r="C7" s="11" t="s">
        <v>65</v>
      </c>
      <c r="D7" s="11" t="s">
        <v>97</v>
      </c>
      <c r="E7" s="13" t="n">
        <v>45292</v>
      </c>
      <c r="F7" s="13" t="n">
        <v>46022</v>
      </c>
      <c r="G7" s="12" t="n">
        <v>2400</v>
      </c>
      <c r="H7" s="12" t="n">
        <v>2400</v>
      </c>
      <c r="I7" s="11" t="n">
        <v>720</v>
      </c>
      <c r="J7" s="15" t="n">
        <f aca="false">G7</f>
        <v>2400</v>
      </c>
      <c r="K7" s="15" t="n">
        <f aca="false">G7*12</f>
        <v>28800</v>
      </c>
      <c r="L7" s="11" t="s">
        <v>40</v>
      </c>
    </row>
    <row r="8" customFormat="false" ht="15" hidden="false" customHeight="false" outlineLevel="0" collapsed="false">
      <c r="A8" s="11" t="s">
        <v>33</v>
      </c>
      <c r="B8" s="5" t="str">
        <f aca="false">'Property Master'!B4</f>
        <v>Maple Apartments</v>
      </c>
      <c r="C8" s="11" t="s">
        <v>66</v>
      </c>
      <c r="D8" s="11" t="s">
        <v>98</v>
      </c>
      <c r="E8" s="13" t="n">
        <v>45292</v>
      </c>
      <c r="F8" s="13" t="n">
        <v>46022</v>
      </c>
      <c r="G8" s="12" t="n">
        <v>2400</v>
      </c>
      <c r="H8" s="12" t="n">
        <v>2400</v>
      </c>
      <c r="I8" s="11" t="n">
        <v>720</v>
      </c>
      <c r="J8" s="15" t="n">
        <f aca="false">G8</f>
        <v>2400</v>
      </c>
      <c r="K8" s="15" t="n">
        <f aca="false">G8*12</f>
        <v>28800</v>
      </c>
      <c r="L8" s="11" t="s">
        <v>40</v>
      </c>
    </row>
    <row r="9" customFormat="false" ht="15" hidden="false" customHeight="false" outlineLevel="0" collapsed="false">
      <c r="A9" s="11" t="s">
        <v>33</v>
      </c>
      <c r="B9" s="5" t="str">
        <f aca="false">'Property Master'!B4</f>
        <v>Maple Apartments</v>
      </c>
      <c r="C9" s="11" t="s">
        <v>67</v>
      </c>
      <c r="D9" s="11" t="s">
        <v>99</v>
      </c>
      <c r="E9" s="13" t="n">
        <v>45292</v>
      </c>
      <c r="F9" s="13" t="n">
        <v>46022</v>
      </c>
      <c r="G9" s="12" t="n">
        <v>2400</v>
      </c>
      <c r="H9" s="12" t="n">
        <v>2400</v>
      </c>
      <c r="I9" s="11" t="n">
        <v>720</v>
      </c>
      <c r="J9" s="15" t="n">
        <f aca="false">G9</f>
        <v>2400</v>
      </c>
      <c r="K9" s="15" t="n">
        <f aca="false">G9*12</f>
        <v>28800</v>
      </c>
      <c r="L9" s="11" t="s">
        <v>40</v>
      </c>
    </row>
    <row r="10" customFormat="false" ht="15" hidden="false" customHeight="false" outlineLevel="0" collapsed="false">
      <c r="A10" s="11" t="s">
        <v>33</v>
      </c>
      <c r="B10" s="5" t="str">
        <f aca="false">'Property Master'!B4</f>
        <v>Maple Apartments</v>
      </c>
      <c r="C10" s="11" t="s">
        <v>68</v>
      </c>
      <c r="D10" s="11" t="s">
        <v>100</v>
      </c>
      <c r="E10" s="13" t="n">
        <v>45292</v>
      </c>
      <c r="F10" s="13" t="n">
        <v>46022</v>
      </c>
      <c r="G10" s="12" t="n">
        <v>2400</v>
      </c>
      <c r="H10" s="12" t="n">
        <v>2400</v>
      </c>
      <c r="I10" s="11" t="n">
        <v>720</v>
      </c>
      <c r="J10" s="15" t="n">
        <f aca="false">G10</f>
        <v>2400</v>
      </c>
      <c r="K10" s="15" t="n">
        <f aca="false">G10*12</f>
        <v>28800</v>
      </c>
      <c r="L10" s="11" t="s">
        <v>40</v>
      </c>
    </row>
    <row r="11" customFormat="false" ht="15" hidden="false" customHeight="false" outlineLevel="0" collapsed="false">
      <c r="A11" s="11" t="s">
        <v>33</v>
      </c>
      <c r="B11" s="5" t="str">
        <f aca="false">'Property Master'!B4</f>
        <v>Maple Apartments</v>
      </c>
      <c r="C11" s="11" t="s">
        <v>69</v>
      </c>
      <c r="D11" s="11" t="s">
        <v>101</v>
      </c>
      <c r="E11" s="13" t="n">
        <v>45292</v>
      </c>
      <c r="F11" s="13" t="n">
        <v>46022</v>
      </c>
      <c r="G11" s="12" t="n">
        <v>2400</v>
      </c>
      <c r="H11" s="12" t="n">
        <v>2400</v>
      </c>
      <c r="I11" s="11" t="n">
        <v>720</v>
      </c>
      <c r="J11" s="15" t="n">
        <f aca="false">G11</f>
        <v>2400</v>
      </c>
      <c r="K11" s="15" t="n">
        <f aca="false">G11*12</f>
        <v>28800</v>
      </c>
      <c r="L11" s="11" t="s">
        <v>40</v>
      </c>
    </row>
    <row r="12" customFormat="false" ht="15" hidden="false" customHeight="false" outlineLevel="0" collapsed="false">
      <c r="A12" s="11" t="s">
        <v>33</v>
      </c>
      <c r="B12" s="5" t="str">
        <f aca="false">'Property Master'!B4</f>
        <v>Maple Apartments</v>
      </c>
      <c r="C12" s="11" t="s">
        <v>70</v>
      </c>
      <c r="D12" s="11" t="s">
        <v>102</v>
      </c>
      <c r="E12" s="13" t="n">
        <v>45292</v>
      </c>
      <c r="F12" s="13" t="n">
        <v>46022</v>
      </c>
      <c r="G12" s="12" t="n">
        <v>2400</v>
      </c>
      <c r="H12" s="12" t="n">
        <v>2400</v>
      </c>
      <c r="I12" s="11" t="n">
        <v>720</v>
      </c>
      <c r="J12" s="15" t="n">
        <f aca="false">G12</f>
        <v>2400</v>
      </c>
      <c r="K12" s="15" t="n">
        <f aca="false">G12*12</f>
        <v>28800</v>
      </c>
      <c r="L12" s="11" t="s">
        <v>40</v>
      </c>
    </row>
    <row r="13" customFormat="false" ht="15" hidden="false" customHeight="false" outlineLevel="0" collapsed="false">
      <c r="A13" s="11" t="s">
        <v>33</v>
      </c>
      <c r="B13" s="5" t="str">
        <f aca="false">'Property Master'!B4</f>
        <v>Maple Apartments</v>
      </c>
      <c r="C13" s="11" t="s">
        <v>71</v>
      </c>
      <c r="D13" s="11" t="s">
        <v>103</v>
      </c>
      <c r="E13" s="13" t="n">
        <v>45292</v>
      </c>
      <c r="F13" s="13" t="n">
        <v>46022</v>
      </c>
      <c r="G13" s="12" t="n">
        <v>2400</v>
      </c>
      <c r="H13" s="12" t="n">
        <v>2400</v>
      </c>
      <c r="I13" s="11" t="n">
        <v>720</v>
      </c>
      <c r="J13" s="15" t="n">
        <f aca="false">G13</f>
        <v>2400</v>
      </c>
      <c r="K13" s="15" t="n">
        <f aca="false">G13*12</f>
        <v>28800</v>
      </c>
      <c r="L13" s="11" t="s">
        <v>40</v>
      </c>
    </row>
    <row r="14" customFormat="false" ht="15" hidden="false" customHeight="false" outlineLevel="0" collapsed="false">
      <c r="A14" s="11" t="s">
        <v>33</v>
      </c>
      <c r="B14" s="5" t="str">
        <f aca="false">'Property Master'!B4</f>
        <v>Maple Apartments</v>
      </c>
      <c r="C14" s="11" t="s">
        <v>72</v>
      </c>
      <c r="D14" s="11" t="s">
        <v>104</v>
      </c>
      <c r="E14" s="13" t="n">
        <v>45292</v>
      </c>
      <c r="F14" s="13" t="n">
        <v>46022</v>
      </c>
      <c r="G14" s="12" t="n">
        <v>2400</v>
      </c>
      <c r="H14" s="12" t="n">
        <v>2400</v>
      </c>
      <c r="I14" s="11" t="n">
        <v>720</v>
      </c>
      <c r="J14" s="15" t="n">
        <f aca="false">G14</f>
        <v>2400</v>
      </c>
      <c r="K14" s="15" t="n">
        <f aca="false">G14*12</f>
        <v>28800</v>
      </c>
      <c r="L14" s="11" t="s">
        <v>40</v>
      </c>
    </row>
    <row r="15" customFormat="false" ht="15" hidden="false" customHeight="false" outlineLevel="0" collapsed="false">
      <c r="A15" s="11" t="s">
        <v>33</v>
      </c>
      <c r="B15" s="5" t="str">
        <f aca="false">'Property Master'!B4</f>
        <v>Maple Apartments</v>
      </c>
      <c r="C15" s="11" t="s">
        <v>73</v>
      </c>
      <c r="D15" s="11" t="s">
        <v>105</v>
      </c>
      <c r="E15" s="13" t="n">
        <v>45292</v>
      </c>
      <c r="F15" s="13" t="n">
        <v>46022</v>
      </c>
      <c r="G15" s="12" t="n">
        <v>2400</v>
      </c>
      <c r="H15" s="12" t="n">
        <v>2400</v>
      </c>
      <c r="I15" s="11" t="n">
        <v>720</v>
      </c>
      <c r="J15" s="15" t="n">
        <f aca="false">G15</f>
        <v>2400</v>
      </c>
      <c r="K15" s="15" t="n">
        <f aca="false">G15*12</f>
        <v>28800</v>
      </c>
      <c r="L15" s="11" t="s">
        <v>40</v>
      </c>
    </row>
    <row r="16" customFormat="false" ht="15" hidden="false" customHeight="false" outlineLevel="0" collapsed="false">
      <c r="A16" s="11" t="s">
        <v>33</v>
      </c>
      <c r="B16" s="5" t="str">
        <f aca="false">'Property Master'!B4</f>
        <v>Maple Apartments</v>
      </c>
      <c r="C16" s="11" t="s">
        <v>74</v>
      </c>
      <c r="D16" s="11" t="s">
        <v>106</v>
      </c>
      <c r="E16" s="13" t="n">
        <v>45292</v>
      </c>
      <c r="F16" s="13" t="n">
        <v>46022</v>
      </c>
      <c r="G16" s="12" t="n">
        <v>2400</v>
      </c>
      <c r="H16" s="12" t="n">
        <v>2400</v>
      </c>
      <c r="I16" s="11" t="n">
        <v>720</v>
      </c>
      <c r="J16" s="15" t="n">
        <f aca="false">G16</f>
        <v>2400</v>
      </c>
      <c r="K16" s="15" t="n">
        <f aca="false">G16*12</f>
        <v>28800</v>
      </c>
      <c r="L16" s="11" t="s">
        <v>40</v>
      </c>
    </row>
    <row r="17" customFormat="false" ht="15" hidden="false" customHeight="false" outlineLevel="0" collapsed="false">
      <c r="A17" s="11" t="s">
        <v>33</v>
      </c>
      <c r="B17" s="5" t="str">
        <f aca="false">'Property Master'!B4</f>
        <v>Maple Apartments</v>
      </c>
      <c r="C17" s="11" t="s">
        <v>75</v>
      </c>
      <c r="D17" s="11" t="s">
        <v>107</v>
      </c>
      <c r="E17" s="13" t="n">
        <v>45292</v>
      </c>
      <c r="F17" s="13" t="n">
        <v>46022</v>
      </c>
      <c r="G17" s="12" t="n">
        <v>2400</v>
      </c>
      <c r="H17" s="12" t="n">
        <v>2400</v>
      </c>
      <c r="I17" s="11" t="n">
        <v>720</v>
      </c>
      <c r="J17" s="15" t="n">
        <f aca="false">G17</f>
        <v>2400</v>
      </c>
      <c r="K17" s="15" t="n">
        <f aca="false">G17*12</f>
        <v>28800</v>
      </c>
      <c r="L17" s="11" t="s">
        <v>40</v>
      </c>
    </row>
    <row r="18" customFormat="false" ht="15" hidden="false" customHeight="false" outlineLevel="0" collapsed="false">
      <c r="A18" s="11" t="s">
        <v>33</v>
      </c>
      <c r="B18" s="5" t="str">
        <f aca="false">'Property Master'!B4</f>
        <v>Maple Apartments</v>
      </c>
      <c r="C18" s="11" t="s">
        <v>76</v>
      </c>
      <c r="D18" s="11" t="s">
        <v>108</v>
      </c>
      <c r="E18" s="13" t="n">
        <v>45292</v>
      </c>
      <c r="F18" s="13" t="n">
        <v>46022</v>
      </c>
      <c r="G18" s="12" t="n">
        <v>2400</v>
      </c>
      <c r="H18" s="12" t="n">
        <v>2400</v>
      </c>
      <c r="I18" s="11" t="n">
        <v>720</v>
      </c>
      <c r="J18" s="15" t="n">
        <f aca="false">G18</f>
        <v>2400</v>
      </c>
      <c r="K18" s="15" t="n">
        <f aca="false">G18*12</f>
        <v>28800</v>
      </c>
      <c r="L18" s="11" t="s">
        <v>40</v>
      </c>
    </row>
    <row r="19" customFormat="false" ht="15" hidden="false" customHeight="false" outlineLevel="0" collapsed="false">
      <c r="A19" s="11" t="s">
        <v>33</v>
      </c>
      <c r="B19" s="5" t="str">
        <f aca="false">'Property Master'!B4</f>
        <v>Maple Apartments</v>
      </c>
      <c r="C19" s="11" t="s">
        <v>77</v>
      </c>
      <c r="D19" s="11" t="s">
        <v>109</v>
      </c>
      <c r="E19" s="13" t="n">
        <v>45292</v>
      </c>
      <c r="F19" s="13" t="n">
        <v>46022</v>
      </c>
      <c r="G19" s="12" t="n">
        <v>2400</v>
      </c>
      <c r="H19" s="12" t="n">
        <v>2400</v>
      </c>
      <c r="I19" s="11" t="n">
        <v>720</v>
      </c>
      <c r="J19" s="15" t="n">
        <f aca="false">G19</f>
        <v>2400</v>
      </c>
      <c r="K19" s="15" t="n">
        <f aca="false">G19*12</f>
        <v>28800</v>
      </c>
      <c r="L19" s="11" t="s">
        <v>40</v>
      </c>
    </row>
    <row r="20" customFormat="false" ht="15" hidden="false" customHeight="false" outlineLevel="0" collapsed="false">
      <c r="A20" s="11" t="s">
        <v>33</v>
      </c>
      <c r="B20" s="5" t="str">
        <f aca="false">'Property Master'!B4</f>
        <v>Maple Apartments</v>
      </c>
      <c r="C20" s="11" t="s">
        <v>78</v>
      </c>
      <c r="D20" s="11" t="s">
        <v>110</v>
      </c>
      <c r="E20" s="13" t="n">
        <v>45292</v>
      </c>
      <c r="F20" s="13" t="n">
        <v>46022</v>
      </c>
      <c r="G20" s="12" t="n">
        <v>2400</v>
      </c>
      <c r="H20" s="12" t="n">
        <v>2400</v>
      </c>
      <c r="I20" s="11" t="n">
        <v>720</v>
      </c>
      <c r="J20" s="15" t="n">
        <f aca="false">G20</f>
        <v>2400</v>
      </c>
      <c r="K20" s="15" t="n">
        <f aca="false">G20*12</f>
        <v>28800</v>
      </c>
      <c r="L20" s="11" t="s">
        <v>40</v>
      </c>
    </row>
    <row r="21" customFormat="false" ht="15" hidden="false" customHeight="false" outlineLevel="0" collapsed="false">
      <c r="A21" s="11" t="s">
        <v>33</v>
      </c>
      <c r="B21" s="5" t="str">
        <f aca="false">'Property Master'!B4</f>
        <v>Maple Apartments</v>
      </c>
      <c r="C21" s="11" t="s">
        <v>79</v>
      </c>
      <c r="D21" s="11" t="s">
        <v>111</v>
      </c>
      <c r="E21" s="13" t="n">
        <v>45292</v>
      </c>
      <c r="F21" s="13" t="n">
        <v>46022</v>
      </c>
      <c r="G21" s="12" t="n">
        <v>2400</v>
      </c>
      <c r="H21" s="12" t="n">
        <v>2400</v>
      </c>
      <c r="I21" s="11" t="n">
        <v>720</v>
      </c>
      <c r="J21" s="15" t="n">
        <f aca="false">G21</f>
        <v>2400</v>
      </c>
      <c r="K21" s="15" t="n">
        <f aca="false">G21*12</f>
        <v>28800</v>
      </c>
      <c r="L21" s="11" t="s">
        <v>40</v>
      </c>
    </row>
    <row r="22" customFormat="false" ht="15" hidden="false" customHeight="false" outlineLevel="0" collapsed="false">
      <c r="A22" s="11" t="s">
        <v>33</v>
      </c>
      <c r="B22" s="5" t="str">
        <f aca="false">'Property Master'!B4</f>
        <v>Maple Apartments</v>
      </c>
      <c r="C22" s="11" t="s">
        <v>80</v>
      </c>
      <c r="D22" s="11" t="s">
        <v>112</v>
      </c>
      <c r="E22" s="13" t="n">
        <v>45292</v>
      </c>
      <c r="F22" s="13" t="n">
        <v>46022</v>
      </c>
      <c r="G22" s="12" t="n">
        <v>2400</v>
      </c>
      <c r="H22" s="12" t="n">
        <v>2400</v>
      </c>
      <c r="I22" s="11" t="n">
        <v>720</v>
      </c>
      <c r="J22" s="15" t="n">
        <f aca="false">G22</f>
        <v>2400</v>
      </c>
      <c r="K22" s="15" t="n">
        <f aca="false">G22*12</f>
        <v>28800</v>
      </c>
      <c r="L22" s="11" t="s">
        <v>40</v>
      </c>
    </row>
    <row r="23" customFormat="false" ht="15" hidden="false" customHeight="false" outlineLevel="0" collapsed="false">
      <c r="A23" s="11" t="s">
        <v>33</v>
      </c>
      <c r="B23" s="5" t="str">
        <f aca="false">'Property Master'!B4</f>
        <v>Maple Apartments</v>
      </c>
      <c r="C23" s="11" t="s">
        <v>81</v>
      </c>
      <c r="D23" s="11" t="s">
        <v>113</v>
      </c>
      <c r="E23" s="13" t="n">
        <v>45292</v>
      </c>
      <c r="F23" s="13" t="n">
        <v>46022</v>
      </c>
      <c r="G23" s="12" t="n">
        <v>2400</v>
      </c>
      <c r="H23" s="12" t="n">
        <v>2400</v>
      </c>
      <c r="I23" s="11" t="n">
        <v>720</v>
      </c>
      <c r="J23" s="15" t="n">
        <f aca="false">G23</f>
        <v>2400</v>
      </c>
      <c r="K23" s="15" t="n">
        <f aca="false">G23*12</f>
        <v>28800</v>
      </c>
      <c r="L23" s="11" t="s">
        <v>40</v>
      </c>
    </row>
    <row r="24" customFormat="false" ht="15" hidden="false" customHeight="false" outlineLevel="0" collapsed="false">
      <c r="A24" s="11" t="s">
        <v>33</v>
      </c>
      <c r="B24" s="5" t="str">
        <f aca="false">'Property Master'!B4</f>
        <v>Maple Apartments</v>
      </c>
      <c r="C24" s="11" t="s">
        <v>82</v>
      </c>
      <c r="D24" s="11" t="s">
        <v>114</v>
      </c>
      <c r="E24" s="13" t="n">
        <v>45292</v>
      </c>
      <c r="F24" s="13" t="n">
        <v>46022</v>
      </c>
      <c r="G24" s="12" t="n">
        <v>2400</v>
      </c>
      <c r="H24" s="12" t="n">
        <v>2400</v>
      </c>
      <c r="I24" s="11" t="n">
        <v>720</v>
      </c>
      <c r="J24" s="15" t="n">
        <f aca="false">G24</f>
        <v>2400</v>
      </c>
      <c r="K24" s="15" t="n">
        <f aca="false">G24*12</f>
        <v>28800</v>
      </c>
      <c r="L24" s="11" t="s">
        <v>40</v>
      </c>
    </row>
    <row r="25" customFormat="false" ht="15" hidden="false" customHeight="false" outlineLevel="0" collapsed="false">
      <c r="A25" s="11" t="s">
        <v>33</v>
      </c>
      <c r="B25" s="5" t="str">
        <f aca="false">'Property Master'!B4</f>
        <v>Maple Apartments</v>
      </c>
      <c r="C25" s="11" t="s">
        <v>83</v>
      </c>
      <c r="D25" s="11" t="s">
        <v>115</v>
      </c>
      <c r="E25" s="13" t="n">
        <v>45292</v>
      </c>
      <c r="F25" s="13" t="n">
        <v>46022</v>
      </c>
      <c r="G25" s="12" t="n">
        <v>2400</v>
      </c>
      <c r="H25" s="12" t="n">
        <v>2400</v>
      </c>
      <c r="I25" s="11" t="n">
        <v>720</v>
      </c>
      <c r="J25" s="15" t="n">
        <f aca="false">G25</f>
        <v>2400</v>
      </c>
      <c r="K25" s="15" t="n">
        <f aca="false">G25*12</f>
        <v>28800</v>
      </c>
      <c r="L25" s="11" t="s">
        <v>40</v>
      </c>
    </row>
    <row r="27" customFormat="false" ht="15" hidden="false" customHeight="false" outlineLevel="0" collapsed="false">
      <c r="A27" s="4" t="s">
        <v>116</v>
      </c>
      <c r="J27" s="15" t="n">
        <f aca="false">SUM(J4:J26)</f>
        <v>52800</v>
      </c>
      <c r="K27" s="15" t="n">
        <f aca="false">SUM(K4:K26)</f>
        <v>633600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8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10</v>
      </c>
      <c r="D3" s="10" t="s">
        <v>11</v>
      </c>
      <c r="E3" s="10" t="s">
        <v>117</v>
      </c>
      <c r="F3" s="10" t="s">
        <v>12</v>
      </c>
      <c r="G3" s="10" t="s">
        <v>118</v>
      </c>
      <c r="H3" s="10" t="s">
        <v>119</v>
      </c>
      <c r="I3" s="10" t="s">
        <v>14</v>
      </c>
      <c r="J3" s="10" t="s">
        <v>120</v>
      </c>
      <c r="K3" s="10" t="s">
        <v>121</v>
      </c>
    </row>
    <row r="4" customFormat="false" ht="15" hidden="false" customHeight="false" outlineLevel="0" collapsed="false">
      <c r="A4" s="11" t="s">
        <v>33</v>
      </c>
      <c r="B4" s="5" t="str">
        <f aca="false">'Property Master'!B4</f>
        <v>Maple Apartments</v>
      </c>
      <c r="C4" s="15" t="n">
        <f aca="false">SUMIF('Rent Roll'!A:A,A4,'Rent Roll'!J:J)</f>
        <v>52800</v>
      </c>
      <c r="D4" s="16" t="n">
        <f aca="false">SUMIFS('Unit Inventory'!I:I,'Unit Inventory'!A:A,A4,'Unit Inventory'!E:E,"Vacant")</f>
        <v>5000</v>
      </c>
      <c r="E4" s="12" t="n">
        <v>500</v>
      </c>
      <c r="F4" s="15" t="n">
        <f aca="false">C4+D4+E4</f>
        <v>58300</v>
      </c>
      <c r="G4" s="12" t="n">
        <v>15000</v>
      </c>
      <c r="H4" s="15" t="n">
        <f aca="false">G4</f>
        <v>15000</v>
      </c>
      <c r="I4" s="15" t="n">
        <f aca="false">F4-H4</f>
        <v>43300</v>
      </c>
      <c r="J4" s="12" t="n">
        <v>8000</v>
      </c>
      <c r="K4" s="15" t="n">
        <f aca="false">I4-J4</f>
        <v>35300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2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122</v>
      </c>
      <c r="D3" s="10" t="s">
        <v>123</v>
      </c>
      <c r="E3" s="10" t="s">
        <v>124</v>
      </c>
      <c r="F3" s="10" t="s">
        <v>125</v>
      </c>
      <c r="G3" s="10" t="s">
        <v>126</v>
      </c>
      <c r="H3" s="10" t="s">
        <v>127</v>
      </c>
      <c r="I3" s="10" t="s">
        <v>128</v>
      </c>
      <c r="J3" s="10" t="s">
        <v>129</v>
      </c>
      <c r="K3" s="10" t="s">
        <v>130</v>
      </c>
      <c r="L3" s="10" t="s">
        <v>131</v>
      </c>
      <c r="M3" s="10" t="s">
        <v>132</v>
      </c>
      <c r="N3" s="10" t="s">
        <v>133</v>
      </c>
      <c r="O3" s="10" t="s">
        <v>134</v>
      </c>
    </row>
    <row r="4" customFormat="false" ht="15" hidden="false" customHeight="false" outlineLevel="0" collapsed="false">
      <c r="A4" s="17" t="s">
        <v>135</v>
      </c>
      <c r="B4" s="17"/>
    </row>
    <row r="5" customFormat="false" ht="15" hidden="false" customHeight="false" outlineLevel="0" collapsed="false">
      <c r="A5" s="11" t="s">
        <v>33</v>
      </c>
      <c r="B5" s="5" t="str">
        <f aca="false">'Property Master'!B4</f>
        <v>Maple Apartments</v>
      </c>
      <c r="C5" s="12" t="n">
        <v>52800</v>
      </c>
      <c r="D5" s="12" t="n">
        <v>52800</v>
      </c>
      <c r="E5" s="12" t="n">
        <v>52800</v>
      </c>
      <c r="F5" s="12" t="n">
        <v>52800</v>
      </c>
      <c r="G5" s="12" t="n">
        <v>52800</v>
      </c>
      <c r="H5" s="12" t="n">
        <v>52800</v>
      </c>
      <c r="I5" s="12" t="n">
        <v>52800</v>
      </c>
      <c r="J5" s="12" t="n">
        <v>52800</v>
      </c>
      <c r="K5" s="12" t="n">
        <v>52800</v>
      </c>
      <c r="L5" s="12" t="n">
        <v>52800</v>
      </c>
      <c r="M5" s="12" t="n">
        <v>52800</v>
      </c>
      <c r="N5" s="12" t="n">
        <v>52800</v>
      </c>
      <c r="O5" s="15" t="n">
        <f aca="false">SUM(C5:N5)</f>
        <v>633600</v>
      </c>
    </row>
  </sheetData>
  <mergeCells count="1"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87</v>
      </c>
      <c r="D3" s="10" t="s">
        <v>136</v>
      </c>
      <c r="E3" s="10" t="s">
        <v>45</v>
      </c>
      <c r="F3" s="10" t="s">
        <v>137</v>
      </c>
      <c r="G3" s="10" t="s">
        <v>88</v>
      </c>
      <c r="H3" s="10" t="s">
        <v>92</v>
      </c>
      <c r="I3" s="10" t="s">
        <v>138</v>
      </c>
      <c r="J3" s="10" t="s">
        <v>139</v>
      </c>
      <c r="K3" s="10" t="s">
        <v>140</v>
      </c>
    </row>
    <row r="4" customFormat="false" ht="15" hidden="false" customHeight="false" outlineLevel="0" collapsed="false">
      <c r="A4" s="5" t="str">
        <f aca="false">'Rent Roll'!A4</f>
        <v>PROP-001</v>
      </c>
      <c r="B4" s="5" t="str">
        <f aca="false">'Rent Roll'!B4</f>
        <v>Maple Apartments</v>
      </c>
      <c r="C4" s="5" t="str">
        <f aca="false">'Rent Roll'!C4</f>
        <v>1A</v>
      </c>
      <c r="D4" s="5" t="str">
        <f aca="false">'Rent Roll'!D4</f>
        <v>Tenant 1</v>
      </c>
      <c r="E4" s="18" t="n">
        <f aca="false">'Rent Roll'!F4</f>
        <v>46022</v>
      </c>
      <c r="F4" s="14" t="n">
        <f aca="true">E4-TODAY()</f>
        <v>56</v>
      </c>
      <c r="G4" s="7" t="n">
        <f aca="false">'Rent Roll'!G4</f>
        <v>2400</v>
      </c>
      <c r="H4" s="7" t="n">
        <f aca="false">'Rent Roll'!K4</f>
        <v>28800</v>
      </c>
      <c r="I4" s="19" t="n">
        <v>0.7</v>
      </c>
      <c r="J4" s="14" t="str">
        <f aca="false">IF(F4&lt;60,"CRITICAL",IF(F4&lt;120,"HIGH",IF(F4&lt;180,"MODERATE","LOW")))</f>
        <v>CRITICAL</v>
      </c>
      <c r="K4" s="14" t="str">
        <f aca="false">IF(F4&lt;60,"Contact Tenant",IF(F4&lt;120,"Start Renewal Process","Monitor"))</f>
        <v>Contact Tenant</v>
      </c>
    </row>
    <row r="5" customFormat="false" ht="15" hidden="false" customHeight="false" outlineLevel="0" collapsed="false">
      <c r="A5" s="5" t="str">
        <f aca="false">'Rent Roll'!A5</f>
        <v>PROP-001</v>
      </c>
      <c r="B5" s="5" t="str">
        <f aca="false">'Rent Roll'!B5</f>
        <v>Maple Apartments</v>
      </c>
      <c r="C5" s="5" t="str">
        <f aca="false">'Rent Roll'!C5</f>
        <v>2A</v>
      </c>
      <c r="D5" s="5" t="str">
        <f aca="false">'Rent Roll'!D5</f>
        <v>Tenant 2</v>
      </c>
      <c r="E5" s="18" t="n">
        <f aca="false">'Rent Roll'!F5</f>
        <v>46022</v>
      </c>
      <c r="F5" s="14" t="n">
        <f aca="true">E5-TODAY()</f>
        <v>56</v>
      </c>
      <c r="G5" s="7" t="n">
        <f aca="false">'Rent Roll'!G5</f>
        <v>2400</v>
      </c>
      <c r="H5" s="7" t="n">
        <f aca="false">'Rent Roll'!K5</f>
        <v>28800</v>
      </c>
      <c r="I5" s="19" t="n">
        <v>0.7</v>
      </c>
      <c r="J5" s="14" t="str">
        <f aca="false">IF(F5&lt;60,"CRITICAL",IF(F5&lt;120,"HIGH",IF(F5&lt;180,"MODERATE","LOW")))</f>
        <v>CRITICAL</v>
      </c>
      <c r="K5" s="14" t="str">
        <f aca="false">IF(F5&lt;60,"Contact Tenant",IF(F5&lt;120,"Start Renewal Process","Monitor"))</f>
        <v>Contact Tenant</v>
      </c>
    </row>
    <row r="6" customFormat="false" ht="15" hidden="false" customHeight="false" outlineLevel="0" collapsed="false">
      <c r="A6" s="5" t="str">
        <f aca="false">'Rent Roll'!A6</f>
        <v>PROP-001</v>
      </c>
      <c r="B6" s="5" t="str">
        <f aca="false">'Rent Roll'!B6</f>
        <v>Maple Apartments</v>
      </c>
      <c r="C6" s="5" t="str">
        <f aca="false">'Rent Roll'!C6</f>
        <v>3A</v>
      </c>
      <c r="D6" s="5" t="str">
        <f aca="false">'Rent Roll'!D6</f>
        <v>Tenant 3</v>
      </c>
      <c r="E6" s="18" t="n">
        <f aca="false">'Rent Roll'!F6</f>
        <v>46022</v>
      </c>
      <c r="F6" s="14" t="n">
        <f aca="true">E6-TODAY()</f>
        <v>56</v>
      </c>
      <c r="G6" s="7" t="n">
        <f aca="false">'Rent Roll'!G6</f>
        <v>2400</v>
      </c>
      <c r="H6" s="7" t="n">
        <f aca="false">'Rent Roll'!K6</f>
        <v>28800</v>
      </c>
      <c r="I6" s="19" t="n">
        <v>0.7</v>
      </c>
      <c r="J6" s="14" t="str">
        <f aca="false">IF(F6&lt;60,"CRITICAL",IF(F6&lt;120,"HIGH",IF(F6&lt;180,"MODERATE","LOW")))</f>
        <v>CRITICAL</v>
      </c>
      <c r="K6" s="14" t="str">
        <f aca="false">IF(F6&lt;60,"Contact Tenant",IF(F6&lt;120,"Start Renewal Process","Monitor"))</f>
        <v>Contact Tenant</v>
      </c>
    </row>
    <row r="7" customFormat="false" ht="15" hidden="false" customHeight="false" outlineLevel="0" collapsed="false">
      <c r="A7" s="5" t="str">
        <f aca="false">'Rent Roll'!A7</f>
        <v>PROP-001</v>
      </c>
      <c r="B7" s="5" t="str">
        <f aca="false">'Rent Roll'!B7</f>
        <v>Maple Apartments</v>
      </c>
      <c r="C7" s="5" t="str">
        <f aca="false">'Rent Roll'!C7</f>
        <v>4A</v>
      </c>
      <c r="D7" s="5" t="str">
        <f aca="false">'Rent Roll'!D7</f>
        <v>Tenant 4</v>
      </c>
      <c r="E7" s="18" t="n">
        <f aca="false">'Rent Roll'!F7</f>
        <v>46022</v>
      </c>
      <c r="F7" s="14" t="n">
        <f aca="true">E7-TODAY()</f>
        <v>56</v>
      </c>
      <c r="G7" s="7" t="n">
        <f aca="false">'Rent Roll'!G7</f>
        <v>2400</v>
      </c>
      <c r="H7" s="7" t="n">
        <f aca="false">'Rent Roll'!K7</f>
        <v>28800</v>
      </c>
      <c r="I7" s="19" t="n">
        <v>0.7</v>
      </c>
      <c r="J7" s="14" t="str">
        <f aca="false">IF(F7&lt;60,"CRITICAL",IF(F7&lt;120,"HIGH",IF(F7&lt;180,"MODERATE","LOW")))</f>
        <v>CRITICAL</v>
      </c>
      <c r="K7" s="14" t="str">
        <f aca="false">IF(F7&lt;60,"Contact Tenant",IF(F7&lt;120,"Start Renewal Process","Monitor"))</f>
        <v>Contact Tenant</v>
      </c>
    </row>
    <row r="8" customFormat="false" ht="15" hidden="false" customHeight="false" outlineLevel="0" collapsed="false">
      <c r="A8" s="5" t="str">
        <f aca="false">'Rent Roll'!A8</f>
        <v>PROP-001</v>
      </c>
      <c r="B8" s="5" t="str">
        <f aca="false">'Rent Roll'!B8</f>
        <v>Maple Apartments</v>
      </c>
      <c r="C8" s="5" t="str">
        <f aca="false">'Rent Roll'!C8</f>
        <v>5A</v>
      </c>
      <c r="D8" s="5" t="str">
        <f aca="false">'Rent Roll'!D8</f>
        <v>Tenant 5</v>
      </c>
      <c r="E8" s="18" t="n">
        <f aca="false">'Rent Roll'!F8</f>
        <v>46022</v>
      </c>
      <c r="F8" s="14" t="n">
        <f aca="true">E8-TODAY()</f>
        <v>56</v>
      </c>
      <c r="G8" s="7" t="n">
        <f aca="false">'Rent Roll'!G8</f>
        <v>2400</v>
      </c>
      <c r="H8" s="7" t="n">
        <f aca="false">'Rent Roll'!K8</f>
        <v>28800</v>
      </c>
      <c r="I8" s="19" t="n">
        <v>0.7</v>
      </c>
      <c r="J8" s="14" t="str">
        <f aca="false">IF(F8&lt;60,"CRITICAL",IF(F8&lt;120,"HIGH",IF(F8&lt;180,"MODERATE","LOW")))</f>
        <v>CRITICAL</v>
      </c>
      <c r="K8" s="14" t="str">
        <f aca="false">IF(F8&lt;60,"Contact Tenant",IF(F8&lt;120,"Start Renewal Process","Monitor"))</f>
        <v>Contact Tenant</v>
      </c>
    </row>
    <row r="9" customFormat="false" ht="15" hidden="false" customHeight="false" outlineLevel="0" collapsed="false">
      <c r="A9" s="5" t="str">
        <f aca="false">'Rent Roll'!A9</f>
        <v>PROP-001</v>
      </c>
      <c r="B9" s="5" t="str">
        <f aca="false">'Rent Roll'!B9</f>
        <v>Maple Apartments</v>
      </c>
      <c r="C9" s="5" t="str">
        <f aca="false">'Rent Roll'!C9</f>
        <v>6A</v>
      </c>
      <c r="D9" s="5" t="str">
        <f aca="false">'Rent Roll'!D9</f>
        <v>Tenant 6</v>
      </c>
      <c r="E9" s="18" t="n">
        <f aca="false">'Rent Roll'!F9</f>
        <v>46022</v>
      </c>
      <c r="F9" s="14" t="n">
        <f aca="true">E9-TODAY()</f>
        <v>56</v>
      </c>
      <c r="G9" s="7" t="n">
        <f aca="false">'Rent Roll'!G9</f>
        <v>2400</v>
      </c>
      <c r="H9" s="7" t="n">
        <f aca="false">'Rent Roll'!K9</f>
        <v>28800</v>
      </c>
      <c r="I9" s="19" t="n">
        <v>0.7</v>
      </c>
      <c r="J9" s="14" t="str">
        <f aca="false">IF(F9&lt;60,"CRITICAL",IF(F9&lt;120,"HIGH",IF(F9&lt;180,"MODERATE","LOW")))</f>
        <v>CRITICAL</v>
      </c>
      <c r="K9" s="14" t="str">
        <f aca="false">IF(F9&lt;60,"Contact Tenant",IF(F9&lt;120,"Start Renewal Process","Monitor"))</f>
        <v>Contact Tenant</v>
      </c>
    </row>
    <row r="10" customFormat="false" ht="15" hidden="false" customHeight="false" outlineLevel="0" collapsed="false">
      <c r="A10" s="5" t="str">
        <f aca="false">'Rent Roll'!A10</f>
        <v>PROP-001</v>
      </c>
      <c r="B10" s="5" t="str">
        <f aca="false">'Rent Roll'!B10</f>
        <v>Maple Apartments</v>
      </c>
      <c r="C10" s="5" t="str">
        <f aca="false">'Rent Roll'!C10</f>
        <v>7A</v>
      </c>
      <c r="D10" s="5" t="str">
        <f aca="false">'Rent Roll'!D10</f>
        <v>Tenant 7</v>
      </c>
      <c r="E10" s="18" t="n">
        <f aca="false">'Rent Roll'!F10</f>
        <v>46022</v>
      </c>
      <c r="F10" s="14" t="n">
        <f aca="true">E10-TODAY()</f>
        <v>56</v>
      </c>
      <c r="G10" s="7" t="n">
        <f aca="false">'Rent Roll'!G10</f>
        <v>2400</v>
      </c>
      <c r="H10" s="7" t="n">
        <f aca="false">'Rent Roll'!K10</f>
        <v>28800</v>
      </c>
      <c r="I10" s="19" t="n">
        <v>0.7</v>
      </c>
      <c r="J10" s="14" t="str">
        <f aca="false">IF(F10&lt;60,"CRITICAL",IF(F10&lt;120,"HIGH",IF(F10&lt;180,"MODERATE","LOW")))</f>
        <v>CRITICAL</v>
      </c>
      <c r="K10" s="14" t="str">
        <f aca="false">IF(F10&lt;60,"Contact Tenant",IF(F10&lt;120,"Start Renewal Process","Monitor"))</f>
        <v>Contact Tenant</v>
      </c>
    </row>
    <row r="11" customFormat="false" ht="15" hidden="false" customHeight="false" outlineLevel="0" collapsed="false">
      <c r="A11" s="5" t="str">
        <f aca="false">'Rent Roll'!A11</f>
        <v>PROP-001</v>
      </c>
      <c r="B11" s="5" t="str">
        <f aca="false">'Rent Roll'!B11</f>
        <v>Maple Apartments</v>
      </c>
      <c r="C11" s="5" t="str">
        <f aca="false">'Rent Roll'!C11</f>
        <v>8A</v>
      </c>
      <c r="D11" s="5" t="str">
        <f aca="false">'Rent Roll'!D11</f>
        <v>Tenant 8</v>
      </c>
      <c r="E11" s="18" t="n">
        <f aca="false">'Rent Roll'!F11</f>
        <v>46022</v>
      </c>
      <c r="F11" s="14" t="n">
        <f aca="true">E11-TODAY()</f>
        <v>56</v>
      </c>
      <c r="G11" s="7" t="n">
        <f aca="false">'Rent Roll'!G11</f>
        <v>2400</v>
      </c>
      <c r="H11" s="7" t="n">
        <f aca="false">'Rent Roll'!K11</f>
        <v>28800</v>
      </c>
      <c r="I11" s="19" t="n">
        <v>0.7</v>
      </c>
      <c r="J11" s="14" t="str">
        <f aca="false">IF(F11&lt;60,"CRITICAL",IF(F11&lt;120,"HIGH",IF(F11&lt;180,"MODERATE","LOW")))</f>
        <v>CRITICAL</v>
      </c>
      <c r="K11" s="14" t="str">
        <f aca="false">IF(F11&lt;60,"Contact Tenant",IF(F11&lt;120,"Start Renewal Process","Monitor"))</f>
        <v>Contact Tenant</v>
      </c>
    </row>
    <row r="12" customFormat="false" ht="15" hidden="false" customHeight="false" outlineLevel="0" collapsed="false">
      <c r="A12" s="5" t="str">
        <f aca="false">'Rent Roll'!A12</f>
        <v>PROP-001</v>
      </c>
      <c r="B12" s="5" t="str">
        <f aca="false">'Rent Roll'!B12</f>
        <v>Maple Apartments</v>
      </c>
      <c r="C12" s="5" t="str">
        <f aca="false">'Rent Roll'!C12</f>
        <v>9A</v>
      </c>
      <c r="D12" s="5" t="str">
        <f aca="false">'Rent Roll'!D12</f>
        <v>Tenant 9</v>
      </c>
      <c r="E12" s="18" t="n">
        <f aca="false">'Rent Roll'!F12</f>
        <v>46022</v>
      </c>
      <c r="F12" s="14" t="n">
        <f aca="true">E12-TODAY()</f>
        <v>56</v>
      </c>
      <c r="G12" s="7" t="n">
        <f aca="false">'Rent Roll'!G12</f>
        <v>2400</v>
      </c>
      <c r="H12" s="7" t="n">
        <f aca="false">'Rent Roll'!K12</f>
        <v>28800</v>
      </c>
      <c r="I12" s="19" t="n">
        <v>0.7</v>
      </c>
      <c r="J12" s="14" t="str">
        <f aca="false">IF(F12&lt;60,"CRITICAL",IF(F12&lt;120,"HIGH",IF(F12&lt;180,"MODERATE","LOW")))</f>
        <v>CRITICAL</v>
      </c>
      <c r="K12" s="14" t="str">
        <f aca="false">IF(F12&lt;60,"Contact Tenant",IF(F12&lt;120,"Start Renewal Process","Monitor"))</f>
        <v>Contact Tenant</v>
      </c>
    </row>
    <row r="13" customFormat="false" ht="15" hidden="false" customHeight="false" outlineLevel="0" collapsed="false">
      <c r="A13" s="5" t="str">
        <f aca="false">'Rent Roll'!A13</f>
        <v>PROP-001</v>
      </c>
      <c r="B13" s="5" t="str">
        <f aca="false">'Rent Roll'!B13</f>
        <v>Maple Apartments</v>
      </c>
      <c r="C13" s="5" t="str">
        <f aca="false">'Rent Roll'!C13</f>
        <v>10A</v>
      </c>
      <c r="D13" s="5" t="str">
        <f aca="false">'Rent Roll'!D13</f>
        <v>Tenant 10</v>
      </c>
      <c r="E13" s="18" t="n">
        <f aca="false">'Rent Roll'!F13</f>
        <v>46022</v>
      </c>
      <c r="F13" s="14" t="n">
        <f aca="true">E13-TODAY()</f>
        <v>56</v>
      </c>
      <c r="G13" s="7" t="n">
        <f aca="false">'Rent Roll'!G13</f>
        <v>2400</v>
      </c>
      <c r="H13" s="7" t="n">
        <f aca="false">'Rent Roll'!K13</f>
        <v>28800</v>
      </c>
      <c r="I13" s="19" t="n">
        <v>0.7</v>
      </c>
      <c r="J13" s="14" t="str">
        <f aca="false">IF(F13&lt;60,"CRITICAL",IF(F13&lt;120,"HIGH",IF(F13&lt;180,"MODERATE","LOW")))</f>
        <v>CRITICAL</v>
      </c>
      <c r="K13" s="14" t="str">
        <f aca="false">IF(F13&lt;60,"Contact Tenant",IF(F13&lt;120,"Start Renewal Process","Monitor"))</f>
        <v>Contact Tenant</v>
      </c>
    </row>
    <row r="14" customFormat="false" ht="15" hidden="false" customHeight="false" outlineLevel="0" collapsed="false">
      <c r="A14" s="5" t="str">
        <f aca="false">'Rent Roll'!A14</f>
        <v>PROP-001</v>
      </c>
      <c r="B14" s="5" t="str">
        <f aca="false">'Rent Roll'!B14</f>
        <v>Maple Apartments</v>
      </c>
      <c r="C14" s="5" t="str">
        <f aca="false">'Rent Roll'!C14</f>
        <v>11A</v>
      </c>
      <c r="D14" s="5" t="str">
        <f aca="false">'Rent Roll'!D14</f>
        <v>Tenant 11</v>
      </c>
      <c r="E14" s="18" t="n">
        <f aca="false">'Rent Roll'!F14</f>
        <v>46022</v>
      </c>
      <c r="F14" s="14" t="n">
        <f aca="true">E14-TODAY()</f>
        <v>56</v>
      </c>
      <c r="G14" s="7" t="n">
        <f aca="false">'Rent Roll'!G14</f>
        <v>2400</v>
      </c>
      <c r="H14" s="7" t="n">
        <f aca="false">'Rent Roll'!K14</f>
        <v>28800</v>
      </c>
      <c r="I14" s="19" t="n">
        <v>0.7</v>
      </c>
      <c r="J14" s="14" t="str">
        <f aca="false">IF(F14&lt;60,"CRITICAL",IF(F14&lt;120,"HIGH",IF(F14&lt;180,"MODERATE","LOW")))</f>
        <v>CRITICAL</v>
      </c>
      <c r="K14" s="14" t="str">
        <f aca="false">IF(F14&lt;60,"Contact Tenant",IF(F14&lt;120,"Start Renewal Process","Monitor"))</f>
        <v>Contact Tenant</v>
      </c>
    </row>
    <row r="15" customFormat="false" ht="15" hidden="false" customHeight="false" outlineLevel="0" collapsed="false">
      <c r="A15" s="5" t="str">
        <f aca="false">'Rent Roll'!A15</f>
        <v>PROP-001</v>
      </c>
      <c r="B15" s="5" t="str">
        <f aca="false">'Rent Roll'!B15</f>
        <v>Maple Apartments</v>
      </c>
      <c r="C15" s="5" t="str">
        <f aca="false">'Rent Roll'!C15</f>
        <v>12A</v>
      </c>
      <c r="D15" s="5" t="str">
        <f aca="false">'Rent Roll'!D15</f>
        <v>Tenant 12</v>
      </c>
      <c r="E15" s="18" t="n">
        <f aca="false">'Rent Roll'!F15</f>
        <v>46022</v>
      </c>
      <c r="F15" s="14" t="n">
        <f aca="true">E15-TODAY()</f>
        <v>56</v>
      </c>
      <c r="G15" s="7" t="n">
        <f aca="false">'Rent Roll'!G15</f>
        <v>2400</v>
      </c>
      <c r="H15" s="7" t="n">
        <f aca="false">'Rent Roll'!K15</f>
        <v>28800</v>
      </c>
      <c r="I15" s="19" t="n">
        <v>0.7</v>
      </c>
      <c r="J15" s="14" t="str">
        <f aca="false">IF(F15&lt;60,"CRITICAL",IF(F15&lt;120,"HIGH",IF(F15&lt;180,"MODERATE","LOW")))</f>
        <v>CRITICAL</v>
      </c>
      <c r="K15" s="14" t="str">
        <f aca="false">IF(F15&lt;60,"Contact Tenant",IF(F15&lt;120,"Start Renewal Process","Monitor"))</f>
        <v>Contact Tenant</v>
      </c>
    </row>
    <row r="16" customFormat="false" ht="15" hidden="false" customHeight="false" outlineLevel="0" collapsed="false">
      <c r="A16" s="5" t="str">
        <f aca="false">'Rent Roll'!A16</f>
        <v>PROP-001</v>
      </c>
      <c r="B16" s="5" t="str">
        <f aca="false">'Rent Roll'!B16</f>
        <v>Maple Apartments</v>
      </c>
      <c r="C16" s="5" t="str">
        <f aca="false">'Rent Roll'!C16</f>
        <v>13A</v>
      </c>
      <c r="D16" s="5" t="str">
        <f aca="false">'Rent Roll'!D16</f>
        <v>Tenant 13</v>
      </c>
      <c r="E16" s="18" t="n">
        <f aca="false">'Rent Roll'!F16</f>
        <v>46022</v>
      </c>
      <c r="F16" s="14" t="n">
        <f aca="true">E16-TODAY()</f>
        <v>56</v>
      </c>
      <c r="G16" s="7" t="n">
        <f aca="false">'Rent Roll'!G16</f>
        <v>2400</v>
      </c>
      <c r="H16" s="7" t="n">
        <f aca="false">'Rent Roll'!K16</f>
        <v>28800</v>
      </c>
      <c r="I16" s="19" t="n">
        <v>0.7</v>
      </c>
      <c r="J16" s="14" t="str">
        <f aca="false">IF(F16&lt;60,"CRITICAL",IF(F16&lt;120,"HIGH",IF(F16&lt;180,"MODERATE","LOW")))</f>
        <v>CRITICAL</v>
      </c>
      <c r="K16" s="14" t="str">
        <f aca="false">IF(F16&lt;60,"Contact Tenant",IF(F16&lt;120,"Start Renewal Process","Monitor"))</f>
        <v>Contact Tenant</v>
      </c>
    </row>
    <row r="17" customFormat="false" ht="15" hidden="false" customHeight="false" outlineLevel="0" collapsed="false">
      <c r="A17" s="5" t="str">
        <f aca="false">'Rent Roll'!A17</f>
        <v>PROP-001</v>
      </c>
      <c r="B17" s="5" t="str">
        <f aca="false">'Rent Roll'!B17</f>
        <v>Maple Apartments</v>
      </c>
      <c r="C17" s="5" t="str">
        <f aca="false">'Rent Roll'!C17</f>
        <v>14A</v>
      </c>
      <c r="D17" s="5" t="str">
        <f aca="false">'Rent Roll'!D17</f>
        <v>Tenant 14</v>
      </c>
      <c r="E17" s="18" t="n">
        <f aca="false">'Rent Roll'!F17</f>
        <v>46022</v>
      </c>
      <c r="F17" s="14" t="n">
        <f aca="true">E17-TODAY()</f>
        <v>56</v>
      </c>
      <c r="G17" s="7" t="n">
        <f aca="false">'Rent Roll'!G17</f>
        <v>2400</v>
      </c>
      <c r="H17" s="7" t="n">
        <f aca="false">'Rent Roll'!K17</f>
        <v>28800</v>
      </c>
      <c r="I17" s="19" t="n">
        <v>0.7</v>
      </c>
      <c r="J17" s="14" t="str">
        <f aca="false">IF(F17&lt;60,"CRITICAL",IF(F17&lt;120,"HIGH",IF(F17&lt;180,"MODERATE","LOW")))</f>
        <v>CRITICAL</v>
      </c>
      <c r="K17" s="14" t="str">
        <f aca="false">IF(F17&lt;60,"Contact Tenant",IF(F17&lt;120,"Start Renewal Process","Monitor"))</f>
        <v>Contact Tenant</v>
      </c>
    </row>
    <row r="18" customFormat="false" ht="15" hidden="false" customHeight="false" outlineLevel="0" collapsed="false">
      <c r="A18" s="5" t="str">
        <f aca="false">'Rent Roll'!A18</f>
        <v>PROP-001</v>
      </c>
      <c r="B18" s="5" t="str">
        <f aca="false">'Rent Roll'!B18</f>
        <v>Maple Apartments</v>
      </c>
      <c r="C18" s="5" t="str">
        <f aca="false">'Rent Roll'!C18</f>
        <v>15A</v>
      </c>
      <c r="D18" s="5" t="str">
        <f aca="false">'Rent Roll'!D18</f>
        <v>Tenant 15</v>
      </c>
      <c r="E18" s="18" t="n">
        <f aca="false">'Rent Roll'!F18</f>
        <v>46022</v>
      </c>
      <c r="F18" s="14" t="n">
        <f aca="true">E18-TODAY()</f>
        <v>56</v>
      </c>
      <c r="G18" s="7" t="n">
        <f aca="false">'Rent Roll'!G18</f>
        <v>2400</v>
      </c>
      <c r="H18" s="7" t="n">
        <f aca="false">'Rent Roll'!K18</f>
        <v>28800</v>
      </c>
      <c r="I18" s="19" t="n">
        <v>0.7</v>
      </c>
      <c r="J18" s="14" t="str">
        <f aca="false">IF(F18&lt;60,"CRITICAL",IF(F18&lt;120,"HIGH",IF(F18&lt;180,"MODERATE","LOW")))</f>
        <v>CRITICAL</v>
      </c>
      <c r="K18" s="14" t="str">
        <f aca="false">IF(F18&lt;60,"Contact Tenant",IF(F18&lt;120,"Start Renewal Process","Monitor"))</f>
        <v>Contact Tenant</v>
      </c>
    </row>
    <row r="19" customFormat="false" ht="15" hidden="false" customHeight="false" outlineLevel="0" collapsed="false">
      <c r="A19" s="5" t="str">
        <f aca="false">'Rent Roll'!A19</f>
        <v>PROP-001</v>
      </c>
      <c r="B19" s="5" t="str">
        <f aca="false">'Rent Roll'!B19</f>
        <v>Maple Apartments</v>
      </c>
      <c r="C19" s="5" t="str">
        <f aca="false">'Rent Roll'!C19</f>
        <v>16A</v>
      </c>
      <c r="D19" s="5" t="str">
        <f aca="false">'Rent Roll'!D19</f>
        <v>Tenant 16</v>
      </c>
      <c r="E19" s="18" t="n">
        <f aca="false">'Rent Roll'!F19</f>
        <v>46022</v>
      </c>
      <c r="F19" s="14" t="n">
        <f aca="true">E19-TODAY()</f>
        <v>56</v>
      </c>
      <c r="G19" s="7" t="n">
        <f aca="false">'Rent Roll'!G19</f>
        <v>2400</v>
      </c>
      <c r="H19" s="7" t="n">
        <f aca="false">'Rent Roll'!K19</f>
        <v>28800</v>
      </c>
      <c r="I19" s="19" t="n">
        <v>0.7</v>
      </c>
      <c r="J19" s="14" t="str">
        <f aca="false">IF(F19&lt;60,"CRITICAL",IF(F19&lt;120,"HIGH",IF(F19&lt;180,"MODERATE","LOW")))</f>
        <v>CRITICAL</v>
      </c>
      <c r="K19" s="14" t="str">
        <f aca="false">IF(F19&lt;60,"Contact Tenant",IF(F19&lt;120,"Start Renewal Process","Monitor"))</f>
        <v>Contact Tenant</v>
      </c>
    </row>
    <row r="20" customFormat="false" ht="15" hidden="false" customHeight="false" outlineLevel="0" collapsed="false">
      <c r="A20" s="5" t="str">
        <f aca="false">'Rent Roll'!A20</f>
        <v>PROP-001</v>
      </c>
      <c r="B20" s="5" t="str">
        <f aca="false">'Rent Roll'!B20</f>
        <v>Maple Apartments</v>
      </c>
      <c r="C20" s="5" t="str">
        <f aca="false">'Rent Roll'!C20</f>
        <v>17A</v>
      </c>
      <c r="D20" s="5" t="str">
        <f aca="false">'Rent Roll'!D20</f>
        <v>Tenant 17</v>
      </c>
      <c r="E20" s="18" t="n">
        <f aca="false">'Rent Roll'!F20</f>
        <v>46022</v>
      </c>
      <c r="F20" s="14" t="n">
        <f aca="true">E20-TODAY()</f>
        <v>56</v>
      </c>
      <c r="G20" s="7" t="n">
        <f aca="false">'Rent Roll'!G20</f>
        <v>2400</v>
      </c>
      <c r="H20" s="7" t="n">
        <f aca="false">'Rent Roll'!K20</f>
        <v>28800</v>
      </c>
      <c r="I20" s="19" t="n">
        <v>0.7</v>
      </c>
      <c r="J20" s="14" t="str">
        <f aca="false">IF(F20&lt;60,"CRITICAL",IF(F20&lt;120,"HIGH",IF(F20&lt;180,"MODERATE","LOW")))</f>
        <v>CRITICAL</v>
      </c>
      <c r="K20" s="14" t="str">
        <f aca="false">IF(F20&lt;60,"Contact Tenant",IF(F20&lt;120,"Start Renewal Process","Monitor"))</f>
        <v>Contact Tenant</v>
      </c>
    </row>
    <row r="21" customFormat="false" ht="15" hidden="false" customHeight="false" outlineLevel="0" collapsed="false">
      <c r="A21" s="5" t="str">
        <f aca="false">'Rent Roll'!A21</f>
        <v>PROP-001</v>
      </c>
      <c r="B21" s="5" t="str">
        <f aca="false">'Rent Roll'!B21</f>
        <v>Maple Apartments</v>
      </c>
      <c r="C21" s="5" t="str">
        <f aca="false">'Rent Roll'!C21</f>
        <v>18A</v>
      </c>
      <c r="D21" s="5" t="str">
        <f aca="false">'Rent Roll'!D21</f>
        <v>Tenant 18</v>
      </c>
      <c r="E21" s="18" t="n">
        <f aca="false">'Rent Roll'!F21</f>
        <v>46022</v>
      </c>
      <c r="F21" s="14" t="n">
        <f aca="true">E21-TODAY()</f>
        <v>56</v>
      </c>
      <c r="G21" s="7" t="n">
        <f aca="false">'Rent Roll'!G21</f>
        <v>2400</v>
      </c>
      <c r="H21" s="7" t="n">
        <f aca="false">'Rent Roll'!K21</f>
        <v>28800</v>
      </c>
      <c r="I21" s="19" t="n">
        <v>0.7</v>
      </c>
      <c r="J21" s="14" t="str">
        <f aca="false">IF(F21&lt;60,"CRITICAL",IF(F21&lt;120,"HIGH",IF(F21&lt;180,"MODERATE","LOW")))</f>
        <v>CRITICAL</v>
      </c>
      <c r="K21" s="14" t="str">
        <f aca="false">IF(F21&lt;60,"Contact Tenant",IF(F21&lt;120,"Start Renewal Process","Monitor"))</f>
        <v>Contact Tenant</v>
      </c>
    </row>
    <row r="22" customFormat="false" ht="15" hidden="false" customHeight="false" outlineLevel="0" collapsed="false">
      <c r="A22" s="5" t="str">
        <f aca="false">'Rent Roll'!A22</f>
        <v>PROP-001</v>
      </c>
      <c r="B22" s="5" t="str">
        <f aca="false">'Rent Roll'!B22</f>
        <v>Maple Apartments</v>
      </c>
      <c r="C22" s="5" t="str">
        <f aca="false">'Rent Roll'!C22</f>
        <v>19A</v>
      </c>
      <c r="D22" s="5" t="str">
        <f aca="false">'Rent Roll'!D22</f>
        <v>Tenant 19</v>
      </c>
      <c r="E22" s="18" t="n">
        <f aca="false">'Rent Roll'!F22</f>
        <v>46022</v>
      </c>
      <c r="F22" s="14" t="n">
        <f aca="true">E22-TODAY()</f>
        <v>56</v>
      </c>
      <c r="G22" s="7" t="n">
        <f aca="false">'Rent Roll'!G22</f>
        <v>2400</v>
      </c>
      <c r="H22" s="7" t="n">
        <f aca="false">'Rent Roll'!K22</f>
        <v>28800</v>
      </c>
      <c r="I22" s="19" t="n">
        <v>0.7</v>
      </c>
      <c r="J22" s="14" t="str">
        <f aca="false">IF(F22&lt;60,"CRITICAL",IF(F22&lt;120,"HIGH",IF(F22&lt;180,"MODERATE","LOW")))</f>
        <v>CRITICAL</v>
      </c>
      <c r="K22" s="14" t="str">
        <f aca="false">IF(F22&lt;60,"Contact Tenant",IF(F22&lt;120,"Start Renewal Process","Monitor"))</f>
        <v>Contact Tenant</v>
      </c>
    </row>
    <row r="23" customFormat="false" ht="15" hidden="false" customHeight="false" outlineLevel="0" collapsed="false">
      <c r="A23" s="5" t="str">
        <f aca="false">'Rent Roll'!A23</f>
        <v>PROP-001</v>
      </c>
      <c r="B23" s="5" t="str">
        <f aca="false">'Rent Roll'!B23</f>
        <v>Maple Apartments</v>
      </c>
      <c r="C23" s="5" t="str">
        <f aca="false">'Rent Roll'!C23</f>
        <v>20A</v>
      </c>
      <c r="D23" s="5" t="str">
        <f aca="false">'Rent Roll'!D23</f>
        <v>Tenant 20</v>
      </c>
      <c r="E23" s="18" t="n">
        <f aca="false">'Rent Roll'!F23</f>
        <v>46022</v>
      </c>
      <c r="F23" s="14" t="n">
        <f aca="true">E23-TODAY()</f>
        <v>56</v>
      </c>
      <c r="G23" s="7" t="n">
        <f aca="false">'Rent Roll'!G23</f>
        <v>2400</v>
      </c>
      <c r="H23" s="7" t="n">
        <f aca="false">'Rent Roll'!K23</f>
        <v>28800</v>
      </c>
      <c r="I23" s="19" t="n">
        <v>0.7</v>
      </c>
      <c r="J23" s="14" t="str">
        <f aca="false">IF(F23&lt;60,"CRITICAL",IF(F23&lt;120,"HIGH",IF(F23&lt;180,"MODERATE","LOW")))</f>
        <v>CRITICAL</v>
      </c>
      <c r="K23" s="14" t="str">
        <f aca="false">IF(F23&lt;60,"Contact Tenant",IF(F23&lt;120,"Start Renewal Process","Monitor"))</f>
        <v>Contact Tenant</v>
      </c>
    </row>
    <row r="24" customFormat="false" ht="15" hidden="false" customHeight="false" outlineLevel="0" collapsed="false">
      <c r="A24" s="5" t="str">
        <f aca="false">'Rent Roll'!A24</f>
        <v>PROP-001</v>
      </c>
      <c r="B24" s="5" t="str">
        <f aca="false">'Rent Roll'!B24</f>
        <v>Maple Apartments</v>
      </c>
      <c r="C24" s="5" t="str">
        <f aca="false">'Rent Roll'!C24</f>
        <v>21A</v>
      </c>
      <c r="D24" s="5" t="str">
        <f aca="false">'Rent Roll'!D24</f>
        <v>Tenant 21</v>
      </c>
      <c r="E24" s="18" t="n">
        <f aca="false">'Rent Roll'!F24</f>
        <v>46022</v>
      </c>
      <c r="F24" s="14" t="n">
        <f aca="true">E24-TODAY()</f>
        <v>56</v>
      </c>
      <c r="G24" s="7" t="n">
        <f aca="false">'Rent Roll'!G24</f>
        <v>2400</v>
      </c>
      <c r="H24" s="7" t="n">
        <f aca="false">'Rent Roll'!K24</f>
        <v>28800</v>
      </c>
      <c r="I24" s="19" t="n">
        <v>0.7</v>
      </c>
      <c r="J24" s="14" t="str">
        <f aca="false">IF(F24&lt;60,"CRITICAL",IF(F24&lt;120,"HIGH",IF(F24&lt;180,"MODERATE","LOW")))</f>
        <v>CRITICAL</v>
      </c>
      <c r="K24" s="14" t="str">
        <f aca="false">IF(F24&lt;60,"Contact Tenant",IF(F24&lt;120,"Start Renewal Process","Monitor"))</f>
        <v>Contact Tenant</v>
      </c>
    </row>
    <row r="25" customFormat="false" ht="15" hidden="false" customHeight="false" outlineLevel="0" collapsed="false">
      <c r="A25" s="5" t="str">
        <f aca="false">'Rent Roll'!A25</f>
        <v>PROP-001</v>
      </c>
      <c r="B25" s="5" t="str">
        <f aca="false">'Rent Roll'!B25</f>
        <v>Maple Apartments</v>
      </c>
      <c r="C25" s="5" t="str">
        <f aca="false">'Rent Roll'!C25</f>
        <v>22A</v>
      </c>
      <c r="D25" s="5" t="str">
        <f aca="false">'Rent Roll'!D25</f>
        <v>Tenant 22</v>
      </c>
      <c r="E25" s="18" t="n">
        <f aca="false">'Rent Roll'!F25</f>
        <v>46022</v>
      </c>
      <c r="F25" s="14" t="n">
        <f aca="true">E25-TODAY()</f>
        <v>56</v>
      </c>
      <c r="G25" s="7" t="n">
        <f aca="false">'Rent Roll'!G25</f>
        <v>2400</v>
      </c>
      <c r="H25" s="7" t="n">
        <f aca="false">'Rent Roll'!K25</f>
        <v>28800</v>
      </c>
      <c r="I25" s="19" t="n">
        <v>0.7</v>
      </c>
      <c r="J25" s="14" t="str">
        <f aca="false">IF(F25&lt;60,"CRITICAL",IF(F25&lt;120,"HIGH",IF(F25&lt;180,"MODERATE","LOW")))</f>
        <v>CRITICAL</v>
      </c>
      <c r="K25" s="14" t="str">
        <f aca="false">IF(F25&lt;60,"Contact Tenant",IF(F25&lt;120,"Start Renewal Process","Monitor"))</f>
        <v>Contact Tenant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5"/>
  </cols>
  <sheetData>
    <row r="3" customFormat="false" ht="15" hidden="false" customHeight="false" outlineLevel="0" collapsed="false">
      <c r="A3" s="10" t="s">
        <v>141</v>
      </c>
      <c r="B3" s="10" t="s">
        <v>21</v>
      </c>
      <c r="C3" s="10" t="s">
        <v>22</v>
      </c>
      <c r="D3" s="10" t="s">
        <v>87</v>
      </c>
      <c r="E3" s="10" t="s">
        <v>142</v>
      </c>
      <c r="F3" s="10" t="s">
        <v>143</v>
      </c>
      <c r="G3" s="10" t="s">
        <v>31</v>
      </c>
      <c r="H3" s="10" t="s">
        <v>144</v>
      </c>
      <c r="I3" s="10" t="s">
        <v>145</v>
      </c>
      <c r="J3" s="10" t="s">
        <v>146</v>
      </c>
      <c r="K3" s="10" t="s">
        <v>147</v>
      </c>
      <c r="L3" s="10" t="s">
        <v>148</v>
      </c>
      <c r="M3" s="10" t="s">
        <v>32</v>
      </c>
    </row>
    <row r="4" customFormat="false" ht="15" hidden="false" customHeight="false" outlineLevel="0" collapsed="false">
      <c r="A4" s="11" t="s">
        <v>149</v>
      </c>
      <c r="B4" s="11" t="s">
        <v>33</v>
      </c>
      <c r="C4" s="5" t="str">
        <f aca="false">'Property Master'!B4</f>
        <v>Maple Apartments</v>
      </c>
      <c r="D4" s="11" t="s">
        <v>61</v>
      </c>
      <c r="E4" s="11" t="s">
        <v>150</v>
      </c>
      <c r="F4" s="11" t="s">
        <v>151</v>
      </c>
      <c r="G4" s="11" t="s">
        <v>152</v>
      </c>
      <c r="H4" s="11" t="s">
        <v>153</v>
      </c>
      <c r="I4" s="13" t="n">
        <v>45966.8664964395</v>
      </c>
    </row>
    <row r="5" customFormat="false" ht="15" hidden="false" customHeight="false" outlineLevel="0" collapsed="false">
      <c r="A5" s="11" t="s">
        <v>154</v>
      </c>
      <c r="B5" s="11" t="s">
        <v>33</v>
      </c>
      <c r="C5" s="5" t="str">
        <f aca="false">'Property Master'!B4</f>
        <v>Maple Apartments</v>
      </c>
      <c r="D5" s="11" t="s">
        <v>63</v>
      </c>
      <c r="E5" s="11" t="s">
        <v>155</v>
      </c>
      <c r="F5" s="11" t="s">
        <v>151</v>
      </c>
      <c r="G5" s="11" t="s">
        <v>156</v>
      </c>
      <c r="H5" s="11" t="s">
        <v>157</v>
      </c>
      <c r="I5" s="13" t="n">
        <v>45966.8664964416</v>
      </c>
    </row>
    <row r="6" customFormat="false" ht="15" hidden="false" customHeight="false" outlineLevel="0" collapsed="false">
      <c r="A6" s="11" t="s">
        <v>158</v>
      </c>
      <c r="B6" s="11" t="s">
        <v>33</v>
      </c>
      <c r="C6" s="5" t="str">
        <f aca="false">'Property Master'!B4</f>
        <v>Maple Apartments</v>
      </c>
      <c r="D6" s="11" t="s">
        <v>64</v>
      </c>
      <c r="E6" s="11" t="s">
        <v>159</v>
      </c>
      <c r="F6" s="11" t="s">
        <v>151</v>
      </c>
      <c r="G6" s="11" t="s">
        <v>160</v>
      </c>
      <c r="H6" s="11" t="s">
        <v>161</v>
      </c>
      <c r="I6" s="13" t="n">
        <v>45966.8664964435</v>
      </c>
      <c r="J6" s="13" t="n">
        <v>45966.866496444</v>
      </c>
      <c r="K6" s="12" t="n">
        <v>350</v>
      </c>
    </row>
    <row r="7" customFormat="false" ht="15" hidden="false" customHeight="false" outlineLevel="0" collapsed="false">
      <c r="A7" s="11" t="s">
        <v>162</v>
      </c>
      <c r="B7" s="11" t="s">
        <v>33</v>
      </c>
      <c r="C7" s="5" t="str">
        <f aca="false">'Property Master'!B4</f>
        <v>Maple Apartments</v>
      </c>
      <c r="D7" s="11" t="s">
        <v>65</v>
      </c>
      <c r="E7" s="11" t="s">
        <v>163</v>
      </c>
      <c r="F7" s="11" t="s">
        <v>151</v>
      </c>
      <c r="G7" s="11" t="s">
        <v>152</v>
      </c>
      <c r="H7" s="11" t="s">
        <v>164</v>
      </c>
      <c r="I7" s="13" t="n">
        <v>45966.8664964458</v>
      </c>
    </row>
    <row r="8" customFormat="false" ht="15" hidden="false" customHeight="false" outlineLevel="0" collapsed="false">
      <c r="A8" s="11" t="s">
        <v>165</v>
      </c>
      <c r="B8" s="11" t="s">
        <v>33</v>
      </c>
      <c r="C8" s="5" t="str">
        <f aca="false">'Property Master'!B4</f>
        <v>Maple Apartments</v>
      </c>
      <c r="D8" s="11" t="s">
        <v>66</v>
      </c>
      <c r="E8" s="11" t="s">
        <v>166</v>
      </c>
      <c r="F8" s="11" t="s">
        <v>151</v>
      </c>
      <c r="G8" s="11" t="s">
        <v>156</v>
      </c>
      <c r="H8" s="11" t="s">
        <v>153</v>
      </c>
      <c r="I8" s="13" t="n">
        <v>45966.8664964472</v>
      </c>
    </row>
    <row r="9" customFormat="false" ht="15" hidden="false" customHeight="false" outlineLevel="0" collapsed="false">
      <c r="A9" s="11" t="s">
        <v>167</v>
      </c>
      <c r="B9" s="11" t="s">
        <v>33</v>
      </c>
      <c r="C9" s="5" t="str">
        <f aca="false">'Property Master'!B4</f>
        <v>Maple Apartments</v>
      </c>
      <c r="D9" s="11" t="s">
        <v>67</v>
      </c>
      <c r="E9" s="11" t="s">
        <v>150</v>
      </c>
      <c r="F9" s="11" t="s">
        <v>151</v>
      </c>
      <c r="G9" s="11" t="s">
        <v>160</v>
      </c>
      <c r="H9" s="11" t="s">
        <v>157</v>
      </c>
      <c r="I9" s="13" t="n">
        <v>45966.8664964487</v>
      </c>
      <c r="J9" s="13" t="n">
        <v>45966.8664964489</v>
      </c>
      <c r="K9" s="12" t="n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27</v>
      </c>
      <c r="D3" s="10" t="s">
        <v>28</v>
      </c>
      <c r="E3" s="10" t="s">
        <v>168</v>
      </c>
      <c r="F3" s="10" t="s">
        <v>30</v>
      </c>
      <c r="G3" s="10" t="s">
        <v>169</v>
      </c>
      <c r="H3" s="10" t="s">
        <v>170</v>
      </c>
      <c r="I3" s="10" t="s">
        <v>171</v>
      </c>
      <c r="J3" s="10" t="s">
        <v>172</v>
      </c>
      <c r="K3" s="10" t="s">
        <v>173</v>
      </c>
      <c r="L3" s="10" t="s">
        <v>174</v>
      </c>
      <c r="M3" s="10" t="s">
        <v>175</v>
      </c>
      <c r="N3" s="10" t="s">
        <v>176</v>
      </c>
    </row>
    <row r="4" customFormat="false" ht="15" hidden="false" customHeight="false" outlineLevel="0" collapsed="false">
      <c r="A4" s="11" t="s">
        <v>33</v>
      </c>
      <c r="B4" s="5" t="str">
        <f aca="false">'Property Master'!B4</f>
        <v>Maple Apartments</v>
      </c>
      <c r="C4" s="5" t="str">
        <f aca="false">'Ownership Models'!C4</f>
        <v>Full Ownership</v>
      </c>
      <c r="D4" s="7" t="n">
        <f aca="false">'Property Master'!I4</f>
        <v>3000000</v>
      </c>
      <c r="E4" s="12" t="n">
        <v>600000</v>
      </c>
      <c r="F4" s="7" t="n">
        <f aca="false">'Property Master'!K4</f>
        <v>3200000</v>
      </c>
      <c r="G4" s="15" t="n">
        <f aca="false">SUMIF('Income Statement'!A:A,A4,'Income Statement'!I:I)*12</f>
        <v>519600</v>
      </c>
      <c r="H4" s="15" t="n">
        <f aca="false">SUMIF('Income Statement'!A:A,A4,'Income Statement'!K:K)*12</f>
        <v>423600</v>
      </c>
      <c r="I4" s="15" t="n">
        <f aca="false">F4-D4</f>
        <v>200000</v>
      </c>
      <c r="J4" s="15" t="n">
        <f aca="false">I4+SUM(H4)</f>
        <v>623600</v>
      </c>
      <c r="K4" s="20" t="n">
        <f aca="false">IF(E4&gt;0,H4/E4,0)</f>
        <v>0.706</v>
      </c>
      <c r="L4" s="20" t="n">
        <f aca="false">IF(E4&gt;0,J4/E4,0)</f>
        <v>1.03933333333333</v>
      </c>
      <c r="M4" s="20" t="n">
        <f aca="false">IF(E4&gt;0,(POWER((F4+H4)/E4,1/N4)-1),0)</f>
        <v>0.897178866724753</v>
      </c>
      <c r="N4" s="21" t="n">
        <f aca="true">(TODAY()-'Property Master'!J4)/365</f>
        <v>2.80821917808219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3" customFormat="false" ht="15" hidden="false" customHeight="false" outlineLevel="0" collapsed="false">
      <c r="A3" s="10" t="s">
        <v>21</v>
      </c>
      <c r="B3" s="10" t="s">
        <v>22</v>
      </c>
      <c r="C3" s="10" t="s">
        <v>142</v>
      </c>
      <c r="D3" s="10" t="s">
        <v>177</v>
      </c>
      <c r="E3" s="10" t="s">
        <v>178</v>
      </c>
      <c r="F3" s="10" t="s">
        <v>179</v>
      </c>
      <c r="G3" s="10" t="s">
        <v>180</v>
      </c>
      <c r="H3" s="10" t="s">
        <v>181</v>
      </c>
      <c r="I3" s="10" t="s">
        <v>182</v>
      </c>
      <c r="J3" s="10" t="s">
        <v>183</v>
      </c>
      <c r="K3" s="10" t="s">
        <v>31</v>
      </c>
    </row>
    <row r="4" customFormat="false" ht="15" hidden="false" customHeight="false" outlineLevel="0" collapsed="false">
      <c r="A4" s="11" t="s">
        <v>33</v>
      </c>
      <c r="B4" s="5" t="str">
        <f aca="false">'Property Master'!B4</f>
        <v>Maple Apartments</v>
      </c>
      <c r="C4" s="11" t="s">
        <v>184</v>
      </c>
      <c r="D4" s="12" t="n">
        <v>1200</v>
      </c>
      <c r="E4" s="12" t="n">
        <v>1150</v>
      </c>
      <c r="F4" s="22" t="n">
        <f aca="false">E4-D4</f>
        <v>-50</v>
      </c>
      <c r="G4" s="20" t="n">
        <f aca="false">IF(D4&gt;0,F4/D4,0)</f>
        <v>-0.0416666666666667</v>
      </c>
      <c r="H4" s="15" t="n">
        <f aca="false">D4*12</f>
        <v>14400</v>
      </c>
      <c r="I4" s="15" t="n">
        <f aca="false">E4*12</f>
        <v>13800</v>
      </c>
      <c r="J4" s="22" t="n">
        <f aca="false">I4-H4</f>
        <v>-600</v>
      </c>
      <c r="K4" s="14" t="str">
        <f aca="false">IF(ABS(G4)&lt;0.05,"On Track",IF(F4&lt;0,"Under Budget","Over Budget"))</f>
        <v>On Track</v>
      </c>
    </row>
    <row r="5" customFormat="false" ht="15" hidden="false" customHeight="false" outlineLevel="0" collapsed="false">
      <c r="A5" s="11" t="s">
        <v>33</v>
      </c>
      <c r="B5" s="5" t="str">
        <f aca="false">'Property Master'!B4</f>
        <v>Maple Apartments</v>
      </c>
      <c r="C5" s="11" t="s">
        <v>185</v>
      </c>
      <c r="D5" s="12" t="n">
        <v>1200</v>
      </c>
      <c r="E5" s="12" t="n">
        <v>1150</v>
      </c>
      <c r="F5" s="22" t="n">
        <f aca="false">E5-D5</f>
        <v>-50</v>
      </c>
      <c r="G5" s="20" t="n">
        <f aca="false">IF(D5&gt;0,F5/D5,0)</f>
        <v>-0.0416666666666667</v>
      </c>
      <c r="H5" s="15" t="n">
        <f aca="false">D5*12</f>
        <v>14400</v>
      </c>
      <c r="I5" s="15" t="n">
        <f aca="false">E5*12</f>
        <v>13800</v>
      </c>
      <c r="J5" s="22" t="n">
        <f aca="false">I5-H5</f>
        <v>-600</v>
      </c>
      <c r="K5" s="14" t="str">
        <f aca="false">IF(ABS(G5)&lt;0.05,"On Track",IF(F5&lt;0,"Under Budget","Over Budget"))</f>
        <v>On Track</v>
      </c>
    </row>
    <row r="6" customFormat="false" ht="15" hidden="false" customHeight="false" outlineLevel="0" collapsed="false">
      <c r="A6" s="11" t="s">
        <v>33</v>
      </c>
      <c r="B6" s="5" t="str">
        <f aca="false">'Property Master'!B4</f>
        <v>Maple Apartments</v>
      </c>
      <c r="C6" s="11" t="s">
        <v>186</v>
      </c>
      <c r="D6" s="12" t="n">
        <v>1200</v>
      </c>
      <c r="E6" s="12" t="n">
        <v>1150</v>
      </c>
      <c r="F6" s="22" t="n">
        <f aca="false">E6-D6</f>
        <v>-50</v>
      </c>
      <c r="G6" s="20" t="n">
        <f aca="false">IF(D6&gt;0,F6/D6,0)</f>
        <v>-0.0416666666666667</v>
      </c>
      <c r="H6" s="15" t="n">
        <f aca="false">D6*12</f>
        <v>14400</v>
      </c>
      <c r="I6" s="15" t="n">
        <f aca="false">E6*12</f>
        <v>13800</v>
      </c>
      <c r="J6" s="22" t="n">
        <f aca="false">I6-H6</f>
        <v>-600</v>
      </c>
      <c r="K6" s="14" t="str">
        <f aca="false">IF(ABS(G6)&lt;0.05,"On Track",IF(F6&lt;0,"Under Budget","Over Budget"))</f>
        <v>On Track</v>
      </c>
    </row>
    <row r="7" customFormat="false" ht="15" hidden="false" customHeight="false" outlineLevel="0" collapsed="false">
      <c r="A7" s="11" t="s">
        <v>33</v>
      </c>
      <c r="B7" s="5" t="str">
        <f aca="false">'Property Master'!B4</f>
        <v>Maple Apartments</v>
      </c>
      <c r="C7" s="11" t="s">
        <v>187</v>
      </c>
      <c r="D7" s="12" t="n">
        <v>1200</v>
      </c>
      <c r="E7" s="12" t="n">
        <v>1150</v>
      </c>
      <c r="F7" s="22" t="n">
        <f aca="false">E7-D7</f>
        <v>-50</v>
      </c>
      <c r="G7" s="20" t="n">
        <f aca="false">IF(D7&gt;0,F7/D7,0)</f>
        <v>-0.0416666666666667</v>
      </c>
      <c r="H7" s="15" t="n">
        <f aca="false">D7*12</f>
        <v>14400</v>
      </c>
      <c r="I7" s="15" t="n">
        <f aca="false">E7*12</f>
        <v>13800</v>
      </c>
      <c r="J7" s="22" t="n">
        <f aca="false">I7-H7</f>
        <v>-600</v>
      </c>
      <c r="K7" s="14" t="str">
        <f aca="false">IF(ABS(G7)&lt;0.05,"On Track",IF(F7&lt;0,"Under Budget","Over Budget"))</f>
        <v>On Track</v>
      </c>
    </row>
    <row r="8" customFormat="false" ht="15" hidden="false" customHeight="false" outlineLevel="0" collapsed="false">
      <c r="A8" s="11" t="s">
        <v>33</v>
      </c>
      <c r="B8" s="5" t="str">
        <f aca="false">'Property Master'!B4</f>
        <v>Maple Apartments</v>
      </c>
      <c r="C8" s="11" t="s">
        <v>188</v>
      </c>
      <c r="D8" s="12" t="n">
        <v>1200</v>
      </c>
      <c r="E8" s="12" t="n">
        <v>1150</v>
      </c>
      <c r="F8" s="22" t="n">
        <f aca="false">E8-D8</f>
        <v>-50</v>
      </c>
      <c r="G8" s="20" t="n">
        <f aca="false">IF(D8&gt;0,F8/D8,0)</f>
        <v>-0.0416666666666667</v>
      </c>
      <c r="H8" s="15" t="n">
        <f aca="false">D8*12</f>
        <v>14400</v>
      </c>
      <c r="I8" s="15" t="n">
        <f aca="false">E8*12</f>
        <v>13800</v>
      </c>
      <c r="J8" s="22" t="n">
        <f aca="false">I8-H8</f>
        <v>-600</v>
      </c>
      <c r="K8" s="14" t="str">
        <f aca="false">IF(ABS(G8)&lt;0.05,"On Track",IF(F8&lt;0,"Under Budget","Over Budget"))</f>
        <v>On Track</v>
      </c>
    </row>
    <row r="9" customFormat="false" ht="15" hidden="false" customHeight="false" outlineLevel="0" collapsed="false">
      <c r="A9" s="11" t="s">
        <v>33</v>
      </c>
      <c r="B9" s="5" t="str">
        <f aca="false">'Property Master'!B4</f>
        <v>Maple Apartments</v>
      </c>
      <c r="C9" s="11" t="s">
        <v>189</v>
      </c>
      <c r="D9" s="12" t="n">
        <v>1200</v>
      </c>
      <c r="E9" s="12" t="n">
        <v>1150</v>
      </c>
      <c r="F9" s="22" t="n">
        <f aca="false">E9-D9</f>
        <v>-50</v>
      </c>
      <c r="G9" s="20" t="n">
        <f aca="false">IF(D9&gt;0,F9/D9,0)</f>
        <v>-0.0416666666666667</v>
      </c>
      <c r="H9" s="15" t="n">
        <f aca="false">D9*12</f>
        <v>14400</v>
      </c>
      <c r="I9" s="15" t="n">
        <f aca="false">E9*12</f>
        <v>13800</v>
      </c>
      <c r="J9" s="22" t="n">
        <f aca="false">I9-H9</f>
        <v>-600</v>
      </c>
      <c r="K9" s="14" t="str">
        <f aca="false">IF(ABS(G9)&lt;0.05,"On Track",IF(F9&lt;0,"Under Budget","Over Budget"))</f>
        <v>On Track</v>
      </c>
    </row>
    <row r="10" customFormat="false" ht="15" hidden="false" customHeight="false" outlineLevel="0" collapsed="false">
      <c r="A10" s="11" t="s">
        <v>33</v>
      </c>
      <c r="B10" s="5" t="str">
        <f aca="false">'Property Master'!B4</f>
        <v>Maple Apartments</v>
      </c>
      <c r="C10" s="11" t="s">
        <v>190</v>
      </c>
      <c r="D10" s="12" t="n">
        <v>1200</v>
      </c>
      <c r="E10" s="12" t="n">
        <v>1150</v>
      </c>
      <c r="F10" s="22" t="n">
        <f aca="false">E10-D10</f>
        <v>-50</v>
      </c>
      <c r="G10" s="20" t="n">
        <f aca="false">IF(D10&gt;0,F10/D10,0)</f>
        <v>-0.0416666666666667</v>
      </c>
      <c r="H10" s="15" t="n">
        <f aca="false">D10*12</f>
        <v>14400</v>
      </c>
      <c r="I10" s="15" t="n">
        <f aca="false">E10*12</f>
        <v>13800</v>
      </c>
      <c r="J10" s="22" t="n">
        <f aca="false">I10-H10</f>
        <v>-600</v>
      </c>
      <c r="K10" s="14" t="str">
        <f aca="false">IF(ABS(G10)&lt;0.05,"On Track",IF(F10&lt;0,"Under Budget","Over Budget"))</f>
        <v>On Track</v>
      </c>
    </row>
    <row r="11" customFormat="false" ht="15" hidden="false" customHeight="false" outlineLevel="0" collapsed="false">
      <c r="A11" s="11" t="s">
        <v>33</v>
      </c>
      <c r="B11" s="5" t="str">
        <f aca="false">'Property Master'!B4</f>
        <v>Maple Apartments</v>
      </c>
      <c r="C11" s="11" t="s">
        <v>191</v>
      </c>
      <c r="D11" s="12" t="n">
        <v>1200</v>
      </c>
      <c r="E11" s="12" t="n">
        <v>1150</v>
      </c>
      <c r="F11" s="22" t="n">
        <f aca="false">E11-D11</f>
        <v>-50</v>
      </c>
      <c r="G11" s="20" t="n">
        <f aca="false">IF(D11&gt;0,F11/D11,0)</f>
        <v>-0.0416666666666667</v>
      </c>
      <c r="H11" s="15" t="n">
        <f aca="false">D11*12</f>
        <v>14400</v>
      </c>
      <c r="I11" s="15" t="n">
        <f aca="false">E11*12</f>
        <v>13800</v>
      </c>
      <c r="J11" s="22" t="n">
        <f aca="false">I11-H11</f>
        <v>-600</v>
      </c>
      <c r="K11" s="14" t="str">
        <f aca="false">IF(ABS(G11)&lt;0.05,"On Track",IF(F11&lt;0,"Under Budget","Over Budget"))</f>
        <v>On Track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3" t="s">
        <v>192</v>
      </c>
      <c r="B1" s="23"/>
      <c r="C1" s="23"/>
    </row>
    <row r="3" customFormat="false" ht="15" hidden="false" customHeight="false" outlineLevel="0" collapsed="false">
      <c r="A3" s="3" t="s">
        <v>193</v>
      </c>
      <c r="B3" s="3"/>
      <c r="C3" s="3"/>
    </row>
    <row r="4" customFormat="false" ht="15" hidden="false" customHeight="false" outlineLevel="0" collapsed="false">
      <c r="A4" s="4" t="s">
        <v>194</v>
      </c>
      <c r="B4" s="24" t="n">
        <v>0.05</v>
      </c>
      <c r="C4" s="25" t="s">
        <v>195</v>
      </c>
    </row>
    <row r="5" customFormat="false" ht="15" hidden="false" customHeight="false" outlineLevel="0" collapsed="false">
      <c r="A5" s="4" t="s">
        <v>196</v>
      </c>
      <c r="B5" s="24" t="n">
        <v>0.95</v>
      </c>
      <c r="C5" s="25" t="s">
        <v>197</v>
      </c>
    </row>
    <row r="6" customFormat="false" ht="15" hidden="false" customHeight="false" outlineLevel="0" collapsed="false">
      <c r="A6" s="4" t="s">
        <v>198</v>
      </c>
      <c r="B6" s="24" t="n">
        <v>0.03</v>
      </c>
      <c r="C6" s="25" t="s">
        <v>199</v>
      </c>
    </row>
    <row r="7" customFormat="false" ht="15" hidden="false" customHeight="false" outlineLevel="0" collapsed="false">
      <c r="A7" s="4" t="s">
        <v>200</v>
      </c>
      <c r="B7" s="24" t="n">
        <v>0.05</v>
      </c>
      <c r="C7" s="25" t="s">
        <v>201</v>
      </c>
    </row>
    <row r="8" customFormat="false" ht="15" hidden="false" customHeight="false" outlineLevel="0" collapsed="false">
      <c r="A8" s="4" t="s">
        <v>202</v>
      </c>
      <c r="B8" s="24" t="n">
        <v>0.08</v>
      </c>
      <c r="C8" s="25" t="s">
        <v>203</v>
      </c>
    </row>
    <row r="9" customFormat="false" ht="15" hidden="false" customHeight="false" outlineLevel="0" collapsed="false">
      <c r="A9" s="4" t="s">
        <v>204</v>
      </c>
      <c r="B9" s="24" t="n">
        <v>0.06</v>
      </c>
      <c r="C9" s="25" t="s">
        <v>205</v>
      </c>
    </row>
    <row r="11" customFormat="false" ht="15" hidden="false" customHeight="false" outlineLevel="0" collapsed="false">
      <c r="A11" s="3" t="s">
        <v>206</v>
      </c>
      <c r="B11" s="3"/>
      <c r="C11" s="3"/>
    </row>
    <row r="12" customFormat="false" ht="15" hidden="false" customHeight="false" outlineLevel="0" collapsed="false">
      <c r="A12" s="11" t="s">
        <v>38</v>
      </c>
    </row>
    <row r="13" customFormat="false" ht="15" hidden="false" customHeight="false" outlineLevel="0" collapsed="false">
      <c r="A13" s="11" t="s">
        <v>207</v>
      </c>
    </row>
    <row r="14" customFormat="false" ht="15" hidden="false" customHeight="false" outlineLevel="0" collapsed="false">
      <c r="A14" s="11" t="s">
        <v>208</v>
      </c>
    </row>
    <row r="15" customFormat="false" ht="15" hidden="false" customHeight="false" outlineLevel="0" collapsed="false">
      <c r="A15" s="11" t="s">
        <v>209</v>
      </c>
    </row>
    <row r="16" customFormat="false" ht="15" hidden="false" customHeight="false" outlineLevel="0" collapsed="false">
      <c r="A16" s="11" t="s">
        <v>210</v>
      </c>
    </row>
    <row r="17" customFormat="false" ht="15" hidden="false" customHeight="false" outlineLevel="0" collapsed="false">
      <c r="A17" s="11" t="s">
        <v>211</v>
      </c>
    </row>
    <row r="18" customFormat="false" ht="15" hidden="false" customHeight="false" outlineLevel="0" collapsed="false">
      <c r="A18" s="11" t="s">
        <v>212</v>
      </c>
    </row>
    <row r="20" customFormat="false" ht="15" hidden="false" customHeight="false" outlineLevel="0" collapsed="false">
      <c r="A20" s="3" t="s">
        <v>213</v>
      </c>
      <c r="B20" s="3"/>
      <c r="C20" s="3"/>
    </row>
    <row r="21" customFormat="false" ht="15" hidden="false" customHeight="false" outlineLevel="0" collapsed="false">
      <c r="A21" s="11" t="s">
        <v>39</v>
      </c>
    </row>
    <row r="22" customFormat="false" ht="15" hidden="false" customHeight="false" outlineLevel="0" collapsed="false">
      <c r="A22" s="11" t="s">
        <v>214</v>
      </c>
    </row>
    <row r="23" customFormat="false" ht="15" hidden="false" customHeight="false" outlineLevel="0" collapsed="false">
      <c r="A23" s="11" t="s">
        <v>215</v>
      </c>
    </row>
    <row r="24" customFormat="false" ht="15" hidden="false" customHeight="false" outlineLevel="0" collapsed="false">
      <c r="A24" s="11" t="s">
        <v>216</v>
      </c>
    </row>
    <row r="25" customFormat="false" ht="15" hidden="false" customHeight="false" outlineLevel="0" collapsed="false">
      <c r="A25" s="11" t="s">
        <v>217</v>
      </c>
    </row>
    <row r="26" customFormat="false" ht="15" hidden="false" customHeight="false" outlineLevel="0" collapsed="false">
      <c r="A26" s="11" t="s">
        <v>218</v>
      </c>
    </row>
    <row r="27" customFormat="false" ht="15" hidden="false" customHeight="false" outlineLevel="0" collapsed="false">
      <c r="A27" s="11" t="s">
        <v>219</v>
      </c>
    </row>
    <row r="30" customFormat="false" ht="15" hidden="false" customHeight="false" outlineLevel="0" collapsed="false">
      <c r="A30" s="3" t="s">
        <v>220</v>
      </c>
      <c r="B30" s="3"/>
      <c r="C30" s="3"/>
    </row>
    <row r="31" customFormat="false" ht="15" hidden="false" customHeight="false" outlineLevel="0" collapsed="false">
      <c r="A31" s="11" t="s">
        <v>221</v>
      </c>
      <c r="B31" s="26" t="s">
        <v>222</v>
      </c>
    </row>
    <row r="32" customFormat="false" ht="15" hidden="false" customHeight="false" outlineLevel="0" collapsed="false">
      <c r="A32" s="14" t="s">
        <v>223</v>
      </c>
      <c r="B32" s="26" t="s">
        <v>224</v>
      </c>
    </row>
    <row r="33" customFormat="false" ht="15" hidden="false" customHeight="false" outlineLevel="0" collapsed="false">
      <c r="A33" s="5" t="s">
        <v>225</v>
      </c>
      <c r="B33" s="26" t="s">
        <v>226</v>
      </c>
    </row>
    <row r="34" customFormat="false" ht="15" hidden="false" customHeight="false" outlineLevel="0" collapsed="false">
      <c r="A34" s="27" t="s">
        <v>227</v>
      </c>
      <c r="B34" s="26" t="s">
        <v>228</v>
      </c>
    </row>
  </sheetData>
  <mergeCells count="5">
    <mergeCell ref="A1:C1"/>
    <mergeCell ref="A3:C3"/>
    <mergeCell ref="A11:C11"/>
    <mergeCell ref="A20:C20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2025-11-05T20:47:45Z</dcterms:created>
  <dc:creator>openpyxl</dc:creator>
  <dc:description/>
  <dc:language>en-US</dc:language>
  <cp:lastModifiedBy/>
  <dcterms:modified xsi:type="dcterms:W3CDTF">2025-11-05T20:47:45Z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