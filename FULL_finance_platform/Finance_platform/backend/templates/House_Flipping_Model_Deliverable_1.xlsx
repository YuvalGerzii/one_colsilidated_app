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nputs" sheetId="2" state="visible" r:id="rId4"/>
    <sheet name="Deal Analysis" sheetId="3" state="visible" r:id="rId5"/>
    <sheet name="Renovation Budget" sheetId="4" state="visible" r:id="rId6"/>
    <sheet name="ProForma" sheetId="5" state="visible" r:id="rId7"/>
    <sheet name="Financing Comparison" sheetId="6" state="visible" r:id="rId8"/>
    <sheet name="Sensitivity Analysis" sheetId="7" state="visible" r:id="rId9"/>
    <sheet name="Exit Strategi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<sst xmlns="http://schemas.openxmlformats.org/spreadsheetml/2006/main" count="133" uniqueCount="125">
  <si>
    <t xml:space="preserve">HOUSE FLIPPING MODEL</t>
  </si>
  <si>
    <t xml:space="preserve">Executive Summary Dashboard</t>
  </si>
  <si>
    <t xml:space="preserve">PROPERTY INFORMATION</t>
  </si>
  <si>
    <t xml:space="preserve">KEY DEAL METRICS</t>
  </si>
  <si>
    <t xml:space="preserve">RETURN METRICS</t>
  </si>
  <si>
    <t xml:space="preserve">Property Address:</t>
  </si>
  <si>
    <t xml:space="preserve">Purchase Price:</t>
  </si>
  <si>
    <t xml:space="preserve">Gross Profit:</t>
  </si>
  <si>
    <t xml:space="preserve">Property Type:</t>
  </si>
  <si>
    <t xml:space="preserve">After Repair Value (ARV):</t>
  </si>
  <si>
    <t xml:space="preserve">ROI:</t>
  </si>
  <si>
    <t xml:space="preserve">Square Footage:</t>
  </si>
  <si>
    <t xml:space="preserve">Total Renovation Cost:</t>
  </si>
  <si>
    <t xml:space="preserve">70% Rule Check:</t>
  </si>
  <si>
    <t xml:space="preserve">Bedrooms / Baths:</t>
  </si>
  <si>
    <t xml:space="preserve">All-In Cost:</t>
  </si>
  <si>
    <t xml:space="preserve">Deal Quality:</t>
  </si>
  <si>
    <t xml:space="preserve">PROJECT TIMELINE</t>
  </si>
  <si>
    <t xml:space="preserve">Acquisition Period:</t>
  </si>
  <si>
    <t xml:space="preserve">days</t>
  </si>
  <si>
    <t xml:space="preserve">Renovation Period:</t>
  </si>
  <si>
    <t xml:space="preserve">Marketing Period:</t>
  </si>
  <si>
    <t xml:space="preserve">Total Hold Period:</t>
  </si>
  <si>
    <t xml:space="preserve">INPUTS &amp; ASSUMPTIONS</t>
  </si>
  <si>
    <t xml:space="preserve">All BLUE cells are inputs - Change these to match your deal</t>
  </si>
  <si>
    <t xml:space="preserve">Property Address</t>
  </si>
  <si>
    <t xml:space="preserve">123 Main Street, Anytown, USA</t>
  </si>
  <si>
    <t xml:space="preserve">Property Type</t>
  </si>
  <si>
    <t xml:space="preserve">Single Family Home</t>
  </si>
  <si>
    <t xml:space="preserve">Square Footage</t>
  </si>
  <si>
    <t xml:space="preserve">Bedrooms</t>
  </si>
  <si>
    <t xml:space="preserve">Bathrooms</t>
  </si>
  <si>
    <t xml:space="preserve">Year Built</t>
  </si>
  <si>
    <t xml:space="preserve">ACQUISITION COSTS</t>
  </si>
  <si>
    <t xml:space="preserve">Purchase Price</t>
  </si>
  <si>
    <t xml:space="preserve">Closing Costs (% of Purchase)</t>
  </si>
  <si>
    <t xml:space="preserve">Inspection Cost</t>
  </si>
  <si>
    <t xml:space="preserve">Due Diligence Costs</t>
  </si>
  <si>
    <t xml:space="preserve">RENOVATION BUDGET ASSUMPTIONS</t>
  </si>
  <si>
    <t xml:space="preserve">Renovation Type</t>
  </si>
  <si>
    <t xml:space="preserve">Full Renovation</t>
  </si>
  <si>
    <t xml:space="preserve">Cosmetic / Full / Gut</t>
  </si>
  <si>
    <t xml:space="preserve">Estimated Total Renovation Cost</t>
  </si>
  <si>
    <t xml:space="preserve">Contingency Reserve (% of Reno)</t>
  </si>
  <si>
    <t xml:space="preserve">AFTER REPAIR VALUE (ARV)</t>
  </si>
  <si>
    <t xml:space="preserve">Comp #1 Sale Price</t>
  </si>
  <si>
    <t xml:space="preserve">Comp #2 Sale Price</t>
  </si>
  <si>
    <t xml:space="preserve">Comp #3 Sale Price</t>
  </si>
  <si>
    <t xml:space="preserve">Average Comp Value</t>
  </si>
  <si>
    <t xml:space="preserve">Conservative Discount</t>
  </si>
  <si>
    <t xml:space="preserve">Safety margin</t>
  </si>
  <si>
    <t xml:space="preserve">Your ARV Estimate</t>
  </si>
  <si>
    <t xml:space="preserve">HOLDING COSTS</t>
  </si>
  <si>
    <t xml:space="preserve">Property Insurance (monthly)</t>
  </si>
  <si>
    <t xml:space="preserve">Property Taxes (monthly)</t>
  </si>
  <si>
    <t xml:space="preserve">Utilities (monthly)</t>
  </si>
  <si>
    <t xml:space="preserve">HOA Dues (if applicable, monthly)</t>
  </si>
  <si>
    <t xml:space="preserve">Acquisition Period (days)</t>
  </si>
  <si>
    <t xml:space="preserve">Renovation Period (days)</t>
  </si>
  <si>
    <t xml:space="preserve">Marketing &amp; Sale Period (days)</t>
  </si>
  <si>
    <t xml:space="preserve">Total Hold Period (days)</t>
  </si>
  <si>
    <t xml:space="preserve">SELLING COSTS</t>
  </si>
  <si>
    <t xml:space="preserve">Real Estate Commission (%)</t>
  </si>
  <si>
    <t xml:space="preserve">Closing Costs (% of Sale Price)</t>
  </si>
  <si>
    <t xml:space="preserve">Staging &amp; Photography</t>
  </si>
  <si>
    <t xml:space="preserve">FINANCING ASSUMPTIONS</t>
  </si>
  <si>
    <t xml:space="preserve">Hard Money Loan-to-Cost (LTC)</t>
  </si>
  <si>
    <t xml:space="preserve">Hard Money Interest Rate (Annual)</t>
  </si>
  <si>
    <t xml:space="preserve">Hard Money Points</t>
  </si>
  <si>
    <t xml:space="preserve">Upfront fee</t>
  </si>
  <si>
    <t xml:space="preserve">Private Money Interest Rate (Annual)</t>
  </si>
  <si>
    <t xml:space="preserve">TARGET RETURNS</t>
  </si>
  <si>
    <t xml:space="preserve">Minimum Acceptable Profit</t>
  </si>
  <si>
    <t xml:space="preserve">Minimum ROI Target</t>
  </si>
  <si>
    <t xml:space="preserve">70% Rule Percentage</t>
  </si>
  <si>
    <t xml:space="preserve">Adjust by market</t>
  </si>
  <si>
    <t xml:space="preserve">DEAL ANALYSIS</t>
  </si>
  <si>
    <t xml:space="preserve">70% Rule, MAO Calculation &amp; Profitability Analysis</t>
  </si>
  <si>
    <t xml:space="preserve">AFTER REPAIR VALUE (ARV) ANALYSIS</t>
  </si>
  <si>
    <t xml:space="preserve">Value</t>
  </si>
  <si>
    <t xml:space="preserve">Note</t>
  </si>
  <si>
    <t xml:space="preserve">After Repair Value (ARV)</t>
  </si>
  <si>
    <t xml:space="preserve">From Inputs sheet</t>
  </si>
  <si>
    <t xml:space="preserve">TOTAL PROJECT COSTS</t>
  </si>
  <si>
    <t xml:space="preserve">Acquisition Closing Costs</t>
  </si>
  <si>
    <t xml:space="preserve">Renovation Costs (with contingency)</t>
  </si>
  <si>
    <t xml:space="preserve">Base + reserve</t>
  </si>
  <si>
    <t xml:space="preserve">Holding Costs (monthly × months)</t>
  </si>
  <si>
    <t xml:space="preserve">Insurance, taxes, utilities</t>
  </si>
  <si>
    <t xml:space="preserve">All-In Cost</t>
  </si>
  <si>
    <t xml:space="preserve">Cash/Equity Required</t>
  </si>
  <si>
    <t xml:space="preserve">For cash deal</t>
  </si>
  <si>
    <t xml:space="preserve">SELLING ANALYSIS</t>
  </si>
  <si>
    <t xml:space="preserve">Total Selling Costs</t>
  </si>
  <si>
    <t xml:space="preserve">Commission + closing + staging</t>
  </si>
  <si>
    <t xml:space="preserve">Net Sales Proceeds</t>
  </si>
  <si>
    <t xml:space="preserve">Gross Profit</t>
  </si>
  <si>
    <t xml:space="preserve">Return on Investment (ROI)</t>
  </si>
  <si>
    <t xml:space="preserve">Profit / Equity</t>
  </si>
  <si>
    <t xml:space="preserve">70% RULE CHECK</t>
  </si>
  <si>
    <t xml:space="preserve">Maximum Allowable Offer (MAO) Formula:</t>
  </si>
  <si>
    <t xml:space="preserve">ARV × 70% - Repair Costs</t>
  </si>
  <si>
    <t xml:space="preserve">MAO Calculation</t>
  </si>
  <si>
    <t xml:space="preserve">Max you should pay</t>
  </si>
  <si>
    <t xml:space="preserve">Your Purchase Price</t>
  </si>
  <si>
    <t xml:space="preserve">70% Rule Result</t>
  </si>
  <si>
    <t xml:space="preserve">Pass if under MAO</t>
  </si>
  <si>
    <t xml:space="preserve">Deal Quality Rating</t>
  </si>
  <si>
    <t xml:space="preserve">Based on ROI</t>
  </si>
  <si>
    <t xml:space="preserve">DETAILED METRICS</t>
  </si>
  <si>
    <t xml:space="preserve">Purchase Price per SF</t>
  </si>
  <si>
    <t xml:space="preserve">ARV per SF</t>
  </si>
  <si>
    <t xml:space="preserve">Renovation Cost per SF</t>
  </si>
  <si>
    <t xml:space="preserve">Profit per SF</t>
  </si>
  <si>
    <t xml:space="preserve">Profit Margin (% of ARV)</t>
  </si>
  <si>
    <t xml:space="preserve">Profit per Day Held</t>
  </si>
  <si>
    <t xml:space="preserve">Total Hold Period</t>
  </si>
  <si>
    <t xml:space="preserve">PROFITABILITY BENCHMARKS</t>
  </si>
  <si>
    <t xml:space="preserve">Metric</t>
  </si>
  <si>
    <t xml:space="preserve">Your Deal</t>
  </si>
  <si>
    <t xml:space="preserve">Market Avg</t>
  </si>
  <si>
    <t xml:space="preserve">Status</t>
  </si>
  <si>
    <t xml:space="preserve">ROI</t>
  </si>
  <si>
    <t xml:space="preserve">Profit Margin</t>
  </si>
  <si>
    <t xml:space="preserve">DEAL RECOMMENDATION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</si>
</sst>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#,##0"/>
    <numFmt numFmtId="168" formatCode="0"/>
    <numFmt numFmtId="169" formatCode="0.00%"/>
    <numFmt numFmtId="170" formatCode="0.0"/>
    <numFmt numFmtId="171" formatCode="[$$-409]#,##0.00;[RED]\-[$$-409]#,##0.00"/>
    <numFmt numFmtId="172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E7E6FF"/>
      </patternFill>
    </fill>
    <fill>
      <patternFill patternType="solid">
        <fgColor rgb="FFE7E6FF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6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15"/>
    <col collapsed="false" customWidth="true" hidden="false" outlineLevel="0" max="6" min="6" style="1" width="8"/>
    <col collapsed="false" customWidth="true" hidden="false" outlineLevel="0" max="7" min="7" style="1" width="20"/>
    <col collapsed="false" customWidth="true" hidden="false" outlineLevel="0" max="8" min="8" style="1" width="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D4" s="4" t="s">
        <v>3</v>
      </c>
      <c r="E4" s="4"/>
      <c r="G4" s="4" t="s">
        <v>4</v>
      </c>
      <c r="H4" s="4"/>
    </row>
    <row r="5" customFormat="false" ht="15" hidden="false" customHeight="true" outlineLevel="0" collapsed="false">
      <c r="A5" s="1" t="s">
        <v>5</v>
      </c>
      <c r="B5" s="5" t="str">
        <f aca="false">Inputs!B5</f>
        <v>123 Main Street, Anytown, USA</v>
      </c>
      <c r="D5" s="1" t="s">
        <v>6</v>
      </c>
      <c r="E5" s="6" t="n">
        <f aca="false">Inputs!B13</f>
        <v>150000</v>
      </c>
      <c r="G5" s="1" t="s">
        <v>7</v>
      </c>
      <c r="H5" s="6" t="n">
        <f aca="false">'Deal Analysis'!E15</f>
        <v>0</v>
      </c>
    </row>
    <row r="6" customFormat="false" ht="15" hidden="false" customHeight="true" outlineLevel="0" collapsed="false">
      <c r="A6" s="1" t="s">
        <v>8</v>
      </c>
      <c r="B6" s="5" t="str">
        <f aca="false">Inputs!B6</f>
        <v>Single Family Home</v>
      </c>
      <c r="D6" s="1" t="s">
        <v>9</v>
      </c>
      <c r="E6" s="6" t="str">
        <f aca="false">'Deal Analysis'!E6</f>
        <v>From Inputs sheet</v>
      </c>
      <c r="G6" s="1" t="s">
        <v>10</v>
      </c>
      <c r="H6" s="7" t="n">
        <f aca="false">'Deal Analysis'!E16</f>
        <v>0</v>
      </c>
    </row>
    <row r="7" customFormat="false" ht="15" hidden="false" customHeight="true" outlineLevel="0" collapsed="false">
      <c r="A7" s="1" t="s">
        <v>11</v>
      </c>
      <c r="B7" s="8" t="n">
        <f aca="false">Inputs!B7</f>
        <v>1800</v>
      </c>
      <c r="D7" s="1" t="s">
        <v>12</v>
      </c>
      <c r="E7" s="6" t="n">
        <f aca="false">'Renovation Budget'!C50</f>
        <v>0</v>
      </c>
      <c r="G7" s="1" t="s">
        <v>13</v>
      </c>
      <c r="H7" s="5" t="n">
        <f aca="false">'Deal Analysis'!E21</f>
        <v>0</v>
      </c>
    </row>
    <row r="8" customFormat="false" ht="15" hidden="false" customHeight="true" outlineLevel="0" collapsed="false">
      <c r="A8" s="1" t="s">
        <v>14</v>
      </c>
      <c r="B8" s="5" t="str">
        <f aca="false">Inputs!B8&amp;" / "&amp;Inputs!B9</f>
        <v>3 / 2</v>
      </c>
      <c r="D8" s="1" t="s">
        <v>15</v>
      </c>
      <c r="E8" s="6" t="n">
        <f aca="false">'Deal Analysis'!E10</f>
        <v>0</v>
      </c>
      <c r="G8" s="1" t="s">
        <v>16</v>
      </c>
      <c r="H8" s="5" t="n">
        <f aca="false">'Deal Analysis'!E22</f>
        <v>0</v>
      </c>
    </row>
    <row r="13" customFormat="false" ht="15" hidden="false" customHeight="true" outlineLevel="0" collapsed="false">
      <c r="A13" s="4" t="s">
        <v>17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1" t="s">
        <v>18</v>
      </c>
      <c r="B14" s="9" t="n">
        <f aca="false">Inputs!B34</f>
        <v>200</v>
      </c>
      <c r="C14" s="1" t="s">
        <v>19</v>
      </c>
      <c r="D14" s="1" t="s">
        <v>20</v>
      </c>
      <c r="E14" s="9" t="n">
        <f aca="false">Inputs!B35</f>
        <v>0</v>
      </c>
      <c r="F14" s="1" t="s">
        <v>19</v>
      </c>
      <c r="G14" s="1" t="s">
        <v>21</v>
      </c>
      <c r="H14" s="9" t="n">
        <f aca="false">Inputs!B36</f>
        <v>0</v>
      </c>
      <c r="I14" s="1" t="s">
        <v>19</v>
      </c>
    </row>
    <row r="15" customFormat="false" ht="15" hidden="false" customHeight="true" outlineLevel="0" collapsed="false">
      <c r="A15" s="1" t="s">
        <v>22</v>
      </c>
      <c r="B15" s="10" t="n">
        <f aca="false">Inputs!B34+Inputs!B35+Inputs!B36</f>
        <v>200</v>
      </c>
      <c r="C15" s="1" t="s">
        <v>19</v>
      </c>
    </row>
  </sheetData>
  <mergeCells count="6">
    <mergeCell ref="A1:H1"/>
    <mergeCell ref="A2:H2"/>
    <mergeCell ref="A4:B4"/>
    <mergeCell ref="D4:E4"/>
    <mergeCell ref="G4:H4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20"/>
  </cols>
  <sheetData>
    <row r="1" customFormat="false" ht="19.5" hidden="false" customHeight="true" outlineLevel="0" collapsed="false">
      <c r="A1" s="2" t="s">
        <v>23</v>
      </c>
      <c r="B1" s="2"/>
      <c r="C1" s="2"/>
    </row>
    <row r="2" customFormat="false" ht="15" hidden="false" customHeight="true" outlineLevel="0" collapsed="false">
      <c r="A2" s="11" t="s">
        <v>24</v>
      </c>
      <c r="B2" s="11"/>
      <c r="C2" s="11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1" t="s">
        <v>25</v>
      </c>
      <c r="B5" s="12" t="s">
        <v>26</v>
      </c>
    </row>
    <row r="6" customFormat="false" ht="15" hidden="false" customHeight="true" outlineLevel="0" collapsed="false">
      <c r="A6" s="1" t="s">
        <v>27</v>
      </c>
      <c r="B6" s="12" t="s">
        <v>28</v>
      </c>
    </row>
    <row r="7" customFormat="false" ht="15" hidden="false" customHeight="true" outlineLevel="0" collapsed="false">
      <c r="A7" s="1" t="s">
        <v>29</v>
      </c>
      <c r="B7" s="13" t="n">
        <v>1800</v>
      </c>
    </row>
    <row r="8" customFormat="false" ht="15" hidden="false" customHeight="true" outlineLevel="0" collapsed="false">
      <c r="A8" s="1" t="s">
        <v>30</v>
      </c>
      <c r="B8" s="12" t="n">
        <v>3</v>
      </c>
    </row>
    <row r="9" customFormat="false" ht="15" hidden="false" customHeight="true" outlineLevel="0" collapsed="false">
      <c r="A9" s="1" t="s">
        <v>31</v>
      </c>
      <c r="B9" s="12" t="n">
        <v>2</v>
      </c>
    </row>
    <row r="10" customFormat="false" ht="15" hidden="false" customHeight="true" outlineLevel="0" collapsed="false">
      <c r="A10" s="1" t="s">
        <v>32</v>
      </c>
      <c r="B10" s="12" t="n">
        <v>1975</v>
      </c>
    </row>
    <row r="12" customFormat="false" ht="15" hidden="false" customHeight="true" outlineLevel="0" collapsed="false">
      <c r="A12" s="4" t="s">
        <v>33</v>
      </c>
      <c r="B12" s="4"/>
      <c r="C12" s="4"/>
    </row>
    <row r="13" customFormat="false" ht="15" hidden="false" customHeight="true" outlineLevel="0" collapsed="false">
      <c r="A13" s="1" t="s">
        <v>34</v>
      </c>
      <c r="B13" s="14" t="n">
        <v>150000</v>
      </c>
    </row>
    <row r="14" customFormat="false" ht="15" hidden="false" customHeight="true" outlineLevel="0" collapsed="false">
      <c r="A14" s="1" t="s">
        <v>35</v>
      </c>
      <c r="B14" s="15" t="n">
        <v>0.025</v>
      </c>
      <c r="C14" s="16" t="n">
        <f aca="false">B13*B14</f>
        <v>3750</v>
      </c>
    </row>
    <row r="15" customFormat="false" ht="15" hidden="false" customHeight="true" outlineLevel="0" collapsed="false">
      <c r="A15" s="1" t="s">
        <v>36</v>
      </c>
      <c r="B15" s="14" t="n">
        <v>500</v>
      </c>
    </row>
    <row r="16" customFormat="false" ht="15" hidden="false" customHeight="true" outlineLevel="0" collapsed="false">
      <c r="A16" s="1" t="s">
        <v>37</v>
      </c>
      <c r="B16" s="14" t="n">
        <v>1000</v>
      </c>
    </row>
    <row r="18" customFormat="false" ht="15" hidden="false" customHeight="true" outlineLevel="0" collapsed="false">
      <c r="A18" s="4" t="s">
        <v>38</v>
      </c>
      <c r="B18" s="4"/>
      <c r="C18" s="4"/>
    </row>
    <row r="19" customFormat="false" ht="15" hidden="false" customHeight="true" outlineLevel="0" collapsed="false">
      <c r="A19" s="1" t="s">
        <v>39</v>
      </c>
      <c r="B19" s="12" t="s">
        <v>40</v>
      </c>
      <c r="C19" s="1" t="s">
        <v>41</v>
      </c>
    </row>
    <row r="20" customFormat="false" ht="15" hidden="false" customHeight="true" outlineLevel="0" collapsed="false">
      <c r="A20" s="1" t="s">
        <v>42</v>
      </c>
      <c r="B20" s="14" t="n">
        <v>45000</v>
      </c>
    </row>
    <row r="21" customFormat="false" ht="15" hidden="false" customHeight="true" outlineLevel="0" collapsed="false">
      <c r="A21" s="1" t="s">
        <v>43</v>
      </c>
      <c r="B21" s="17" t="n">
        <v>0.1</v>
      </c>
      <c r="C21" s="16"/>
    </row>
    <row r="23" customFormat="false" ht="15" hidden="false" customHeight="true" outlineLevel="0" collapsed="false">
      <c r="A23" s="4" t="s">
        <v>44</v>
      </c>
      <c r="B23" s="4"/>
      <c r="C23" s="4"/>
    </row>
    <row r="24" customFormat="false" ht="15" hidden="false" customHeight="true" outlineLevel="0" collapsed="false">
      <c r="A24" s="1" t="s">
        <v>45</v>
      </c>
      <c r="B24" s="14" t="n">
        <v>285000</v>
      </c>
    </row>
    <row r="25" customFormat="false" ht="15" hidden="false" customHeight="true" outlineLevel="0" collapsed="false">
      <c r="A25" s="1" t="s">
        <v>46</v>
      </c>
      <c r="B25" s="14" t="n">
        <v>295000</v>
      </c>
    </row>
    <row r="26" customFormat="false" ht="15" hidden="false" customHeight="true" outlineLevel="0" collapsed="false">
      <c r="A26" s="1" t="s">
        <v>47</v>
      </c>
      <c r="B26" s="14" t="n">
        <v>290000</v>
      </c>
    </row>
    <row r="27" customFormat="false" ht="15" hidden="false" customHeight="true" outlineLevel="0" collapsed="false">
      <c r="A27" s="1" t="s">
        <v>48</v>
      </c>
      <c r="B27" s="18" t="n">
        <f aca="false">AVERAGE(B23:B25)</f>
        <v>290000</v>
      </c>
    </row>
    <row r="28" customFormat="false" ht="15" hidden="false" customHeight="true" outlineLevel="0" collapsed="false">
      <c r="A28" s="1" t="s">
        <v>49</v>
      </c>
      <c r="B28" s="17" t="n">
        <v>0.02</v>
      </c>
      <c r="C28" s="1" t="s">
        <v>50</v>
      </c>
    </row>
    <row r="29" customFormat="false" ht="15" hidden="false" customHeight="true" outlineLevel="0" collapsed="false">
      <c r="A29" s="1" t="s">
        <v>51</v>
      </c>
      <c r="B29" s="19" t="n">
        <f aca="false">B26*(1-B27)</f>
        <v>-84099710000</v>
      </c>
    </row>
    <row r="31" customFormat="false" ht="15" hidden="false" customHeight="true" outlineLevel="0" collapsed="false">
      <c r="A31" s="4" t="s">
        <v>52</v>
      </c>
      <c r="B31" s="4"/>
      <c r="C31" s="4"/>
    </row>
    <row r="32" customFormat="false" ht="15" hidden="false" customHeight="true" outlineLevel="0" collapsed="false">
      <c r="A32" s="1" t="s">
        <v>53</v>
      </c>
      <c r="B32" s="14" t="n">
        <v>150</v>
      </c>
    </row>
    <row r="33" customFormat="false" ht="15" hidden="false" customHeight="true" outlineLevel="0" collapsed="false">
      <c r="A33" s="1" t="s">
        <v>54</v>
      </c>
      <c r="B33" s="14" t="n">
        <v>250</v>
      </c>
    </row>
    <row r="34" customFormat="false" ht="15" hidden="false" customHeight="true" outlineLevel="0" collapsed="false">
      <c r="A34" s="1" t="s">
        <v>55</v>
      </c>
      <c r="B34" s="14" t="n">
        <v>200</v>
      </c>
    </row>
    <row r="35" customFormat="false" ht="15" hidden="false" customHeight="true" outlineLevel="0" collapsed="false">
      <c r="A35" s="1" t="s">
        <v>56</v>
      </c>
      <c r="B35" s="14" t="n">
        <v>0</v>
      </c>
    </row>
    <row r="37" customFormat="false" ht="15" hidden="false" customHeight="true" outlineLevel="0" collapsed="false">
      <c r="A37" s="4" t="s">
        <v>17</v>
      </c>
      <c r="B37" s="4"/>
      <c r="C37" s="4"/>
    </row>
    <row r="38" customFormat="false" ht="15" hidden="false" customHeight="true" outlineLevel="0" collapsed="false">
      <c r="A38" s="1" t="s">
        <v>57</v>
      </c>
      <c r="B38" s="12" t="n">
        <v>30</v>
      </c>
      <c r="C38" s="20" t="n">
        <f aca="false">B37/30</f>
        <v>0</v>
      </c>
    </row>
    <row r="39" customFormat="false" ht="15" hidden="false" customHeight="true" outlineLevel="0" collapsed="false">
      <c r="A39" s="1" t="s">
        <v>58</v>
      </c>
      <c r="B39" s="12" t="n">
        <v>90</v>
      </c>
    </row>
    <row r="40" customFormat="false" ht="15" hidden="false" customHeight="true" outlineLevel="0" collapsed="false">
      <c r="A40" s="1" t="s">
        <v>59</v>
      </c>
      <c r="B40" s="12" t="n">
        <v>60</v>
      </c>
    </row>
    <row r="41" customFormat="false" ht="15" hidden="false" customHeight="true" outlineLevel="0" collapsed="false">
      <c r="A41" s="1" t="s">
        <v>60</v>
      </c>
      <c r="B41" s="21" t="n">
        <f aca="false">B34+B35+B36</f>
        <v>200</v>
      </c>
      <c r="C41" s="1" t="str">
        <f aca="false">B37/30&amp;" months"</f>
        <v>0 months</v>
      </c>
    </row>
    <row r="43" customFormat="false" ht="15" hidden="false" customHeight="true" outlineLevel="0" collapsed="false">
      <c r="A43" s="4" t="s">
        <v>61</v>
      </c>
      <c r="B43" s="4"/>
      <c r="C43" s="4"/>
    </row>
    <row r="44" customFormat="false" ht="15" hidden="false" customHeight="true" outlineLevel="0" collapsed="false">
      <c r="A44" s="1" t="s">
        <v>62</v>
      </c>
      <c r="B44" s="17" t="n">
        <v>0.06</v>
      </c>
    </row>
    <row r="45" customFormat="false" ht="15" hidden="false" customHeight="true" outlineLevel="0" collapsed="false">
      <c r="A45" s="1" t="s">
        <v>63</v>
      </c>
      <c r="B45" s="17" t="n">
        <v>0.015</v>
      </c>
    </row>
    <row r="46" customFormat="false" ht="15" hidden="false" customHeight="true" outlineLevel="0" collapsed="false">
      <c r="A46" s="1" t="s">
        <v>64</v>
      </c>
      <c r="B46" s="14" t="n">
        <v>2000</v>
      </c>
    </row>
    <row r="48" customFormat="false" ht="15" hidden="false" customHeight="true" outlineLevel="0" collapsed="false">
      <c r="A48" s="4" t="s">
        <v>65</v>
      </c>
      <c r="B48" s="4"/>
      <c r="C48" s="4"/>
    </row>
    <row r="49" customFormat="false" ht="15" hidden="false" customHeight="true" outlineLevel="0" collapsed="false">
      <c r="A49" s="1" t="s">
        <v>66</v>
      </c>
      <c r="B49" s="17" t="n">
        <v>0.75</v>
      </c>
    </row>
    <row r="50" customFormat="false" ht="15" hidden="false" customHeight="true" outlineLevel="0" collapsed="false">
      <c r="A50" s="1" t="s">
        <v>67</v>
      </c>
      <c r="B50" s="17" t="n">
        <v>0.1</v>
      </c>
    </row>
    <row r="51" customFormat="false" ht="15" hidden="false" customHeight="true" outlineLevel="0" collapsed="false">
      <c r="A51" s="1" t="s">
        <v>68</v>
      </c>
      <c r="B51" s="17" t="n">
        <v>0.03</v>
      </c>
      <c r="C51" s="1" t="s">
        <v>69</v>
      </c>
    </row>
    <row r="52" customFormat="false" ht="15" hidden="false" customHeight="true" outlineLevel="0" collapsed="false">
      <c r="A52" s="1" t="s">
        <v>70</v>
      </c>
      <c r="B52" s="17" t="n">
        <v>0.08</v>
      </c>
    </row>
    <row r="54" customFormat="false" ht="15" hidden="false" customHeight="true" outlineLevel="0" collapsed="false">
      <c r="A54" s="4" t="s">
        <v>71</v>
      </c>
      <c r="B54" s="4"/>
      <c r="C54" s="4"/>
    </row>
    <row r="55" customFormat="false" ht="15" hidden="false" customHeight="true" outlineLevel="0" collapsed="false">
      <c r="A55" s="1" t="s">
        <v>72</v>
      </c>
      <c r="B55" s="14" t="n">
        <v>35000</v>
      </c>
    </row>
    <row r="56" customFormat="false" ht="15" hidden="false" customHeight="true" outlineLevel="0" collapsed="false">
      <c r="A56" s="1" t="s">
        <v>73</v>
      </c>
      <c r="B56" s="17" t="n">
        <v>0.2</v>
      </c>
    </row>
    <row r="57" customFormat="false" ht="15" hidden="false" customHeight="true" outlineLevel="0" collapsed="false">
      <c r="A57" s="1" t="s">
        <v>74</v>
      </c>
      <c r="B57" s="17" t="n">
        <v>0.7</v>
      </c>
      <c r="C57" s="1" t="s">
        <v>75</v>
      </c>
    </row>
  </sheetData>
  <mergeCells count="11">
    <mergeCell ref="A1:C1"/>
    <mergeCell ref="A2:C2"/>
    <mergeCell ref="A4:C4"/>
    <mergeCell ref="A12:C12"/>
    <mergeCell ref="A18:C18"/>
    <mergeCell ref="A23:C23"/>
    <mergeCell ref="A31:C31"/>
    <mergeCell ref="A37:C37"/>
    <mergeCell ref="A43:C43"/>
    <mergeCell ref="A48:C48"/>
    <mergeCell ref="A54: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5"/>
    <col collapsed="false" customWidth="true" hidden="false" outlineLevel="0" max="4" min="4" style="1" width="18"/>
    <col collapsed="false" customWidth="true" hidden="false" outlineLevel="0" max="5" min="5" style="1" width="25"/>
  </cols>
  <sheetData>
    <row r="1" customFormat="false" ht="19.5" hidden="false" customHeight="true" outlineLevel="0" collapsed="false">
      <c r="A1" s="2" t="s">
        <v>76</v>
      </c>
      <c r="B1" s="2"/>
      <c r="C1" s="2"/>
      <c r="D1" s="2"/>
      <c r="E1" s="2"/>
    </row>
    <row r="2" customFormat="false" ht="15" hidden="false" customHeight="true" outlineLevel="0" collapsed="false">
      <c r="A2" s="22" t="s">
        <v>77</v>
      </c>
      <c r="B2" s="22"/>
      <c r="C2" s="22"/>
      <c r="D2" s="22"/>
      <c r="E2" s="22"/>
    </row>
    <row r="4" customFormat="false" ht="15" hidden="false" customHeight="true" outlineLevel="0" collapsed="false">
      <c r="A4" s="4" t="s">
        <v>78</v>
      </c>
      <c r="B4" s="4"/>
      <c r="C4" s="4"/>
      <c r="D4" s="4"/>
      <c r="E4" s="4"/>
    </row>
    <row r="5" customFormat="false" ht="15" hidden="false" customHeight="true" outlineLevel="0" collapsed="false">
      <c r="D5" s="23" t="s">
        <v>79</v>
      </c>
      <c r="E5" s="23" t="s">
        <v>80</v>
      </c>
    </row>
    <row r="6" customFormat="false" ht="15" hidden="false" customHeight="true" outlineLevel="0" collapsed="false">
      <c r="A6" s="1" t="s">
        <v>81</v>
      </c>
      <c r="D6" s="24" t="n">
        <f aca="false">Inputs!B28</f>
        <v>0.02</v>
      </c>
      <c r="E6" s="1" t="s">
        <v>82</v>
      </c>
    </row>
    <row r="8" customFormat="false" ht="15" hidden="false" customHeight="true" outlineLevel="0" collapsed="false">
      <c r="A8" s="4" t="s">
        <v>83</v>
      </c>
      <c r="B8" s="4"/>
      <c r="C8" s="4"/>
      <c r="D8" s="4"/>
      <c r="E8" s="4"/>
    </row>
    <row r="9" customFormat="false" ht="15" hidden="false" customHeight="true" outlineLevel="0" collapsed="false">
      <c r="A9" s="1" t="s">
        <v>34</v>
      </c>
      <c r="D9" s="16" t="n">
        <f aca="false">Inputs!B13</f>
        <v>150000</v>
      </c>
    </row>
    <row r="10" customFormat="false" ht="15" hidden="false" customHeight="true" outlineLevel="0" collapsed="false">
      <c r="A10" s="1" t="s">
        <v>84</v>
      </c>
      <c r="D10" s="16" t="n">
        <f aca="false">Inputs!C14+Inputs!B15+Inputs!B16</f>
        <v>5250</v>
      </c>
    </row>
    <row r="11" customFormat="false" ht="15" hidden="false" customHeight="true" outlineLevel="0" collapsed="false">
      <c r="A11" s="1" t="s">
        <v>85</v>
      </c>
      <c r="D11" s="16" t="n">
        <f aca="false">IF(D10=0,0,D10)</f>
        <v>5250</v>
      </c>
      <c r="E11" s="1" t="s">
        <v>86</v>
      </c>
    </row>
    <row r="12" customFormat="false" ht="15" hidden="false" customHeight="true" outlineLevel="0" collapsed="false">
      <c r="A12" s="1" t="s">
        <v>87</v>
      </c>
      <c r="D12" s="16" t="n">
        <f aca="false">(Inputs!B30+Inputs!B31+Inputs!B32+Inputs!B33)*(Inputs!B37/30)</f>
        <v>0</v>
      </c>
      <c r="E12" s="1" t="s">
        <v>88</v>
      </c>
    </row>
    <row r="13" customFormat="false" ht="15" hidden="false" customHeight="true" outlineLevel="0" collapsed="false">
      <c r="A13" s="25" t="s">
        <v>89</v>
      </c>
      <c r="D13" s="19" t="n">
        <f aca="false">SUM(D7:D9)</f>
        <v>150000</v>
      </c>
    </row>
    <row r="14" customFormat="false" ht="15" hidden="false" customHeight="true" outlineLevel="0" collapsed="false">
      <c r="A14" s="25" t="s">
        <v>90</v>
      </c>
      <c r="D14" s="26" t="n">
        <f aca="false">D10</f>
        <v>5250</v>
      </c>
      <c r="E14" s="1" t="s">
        <v>91</v>
      </c>
    </row>
    <row r="16" customFormat="false" ht="15" hidden="false" customHeight="true" outlineLevel="0" collapsed="false">
      <c r="A16" s="4" t="s">
        <v>92</v>
      </c>
      <c r="B16" s="4"/>
      <c r="C16" s="4"/>
      <c r="D16" s="4"/>
      <c r="E16" s="4"/>
    </row>
    <row r="17" customFormat="false" ht="15" hidden="false" customHeight="true" outlineLevel="0" collapsed="false">
      <c r="A17" s="1" t="s">
        <v>93</v>
      </c>
      <c r="D17" s="16" t="n">
        <f aca="false">D6*(Inputs!B40+Inputs!B41)+Inputs!B42</f>
        <v>5.2</v>
      </c>
      <c r="E17" s="1" t="s">
        <v>94</v>
      </c>
    </row>
    <row r="18" customFormat="false" ht="15" hidden="false" customHeight="true" outlineLevel="0" collapsed="false">
      <c r="A18" s="1" t="s">
        <v>95</v>
      </c>
      <c r="D18" s="16" t="n">
        <f aca="false">D6-D13</f>
        <v>-149999.98</v>
      </c>
    </row>
    <row r="19" customFormat="false" ht="15" hidden="false" customHeight="true" outlineLevel="0" collapsed="false">
      <c r="A19" s="27" t="s">
        <v>96</v>
      </c>
      <c r="D19" s="28" t="n">
        <f aca="false">D14-D10</f>
        <v>0</v>
      </c>
    </row>
    <row r="20" customFormat="false" ht="15" hidden="false" customHeight="true" outlineLevel="0" collapsed="false">
      <c r="A20" s="25" t="s">
        <v>97</v>
      </c>
      <c r="D20" s="29" t="n">
        <f aca="false">Inputs!B13</f>
        <v>150000</v>
      </c>
      <c r="E20" s="1" t="s">
        <v>98</v>
      </c>
    </row>
    <row r="22" customFormat="false" ht="15" hidden="false" customHeight="true" outlineLevel="0" collapsed="false">
      <c r="A22" s="4" t="s">
        <v>99</v>
      </c>
      <c r="B22" s="4"/>
      <c r="C22" s="4"/>
      <c r="D22" s="4"/>
      <c r="E22" s="4"/>
    </row>
    <row r="23" customFormat="false" ht="15" hidden="false" customHeight="true" outlineLevel="0" collapsed="false">
      <c r="A23" s="1" t="s">
        <v>100</v>
      </c>
      <c r="D23" s="30" t="s">
        <v>101</v>
      </c>
    </row>
    <row r="24" customFormat="false" ht="15" hidden="false" customHeight="true" outlineLevel="0" collapsed="false">
      <c r="A24" s="1" t="s">
        <v>102</v>
      </c>
      <c r="D24" s="16" t="n">
        <f aca="false">D6*Inputs!B52-D9</f>
        <v>-149999.9984</v>
      </c>
      <c r="E24" s="1" t="s">
        <v>103</v>
      </c>
    </row>
    <row r="25" customFormat="false" ht="15" hidden="false" customHeight="true" outlineLevel="0" collapsed="false">
      <c r="A25" s="1" t="s">
        <v>104</v>
      </c>
      <c r="D25" s="16" t="n">
        <f aca="false">D7</f>
        <v>0</v>
      </c>
    </row>
    <row r="26" customFormat="false" ht="15" hidden="false" customHeight="true" outlineLevel="0" collapsed="false">
      <c r="A26" s="1" t="s">
        <v>105</v>
      </c>
      <c r="D26" s="25" t="n">
        <f aca="false">IF(Inputs!B7=0,0,D9/Inputs!B7)</f>
        <v>83.3333333333333</v>
      </c>
      <c r="E26" s="1" t="s">
        <v>106</v>
      </c>
    </row>
    <row r="27" customFormat="false" ht="15" hidden="false" customHeight="true" outlineLevel="0" collapsed="false">
      <c r="A27" s="1" t="s">
        <v>107</v>
      </c>
      <c r="D27" s="25" t="str">
        <f aca="false">IF(D16&gt;=0.25,"EXCELLENT",IF(D16&gt;=0.2,"GOOD",IF(D16&gt;=0.15,"ACCEPTABLE","WEAK")))</f>
        <v>WEAK</v>
      </c>
      <c r="E27" s="1" t="s">
        <v>108</v>
      </c>
    </row>
    <row r="29" customFormat="false" ht="15" hidden="false" customHeight="true" outlineLevel="0" collapsed="false">
      <c r="A29" s="4" t="s">
        <v>109</v>
      </c>
      <c r="B29" s="4"/>
      <c r="C29" s="4"/>
      <c r="D29" s="4"/>
      <c r="E29" s="4"/>
    </row>
    <row r="30" customFormat="false" ht="15" hidden="false" customHeight="true" outlineLevel="0" collapsed="false">
      <c r="A30" s="1" t="s">
        <v>110</v>
      </c>
      <c r="D30" s="31" t="n">
        <f aca="false">D7/Inputs!B7</f>
        <v>0</v>
      </c>
    </row>
    <row r="31" customFormat="false" ht="15" hidden="false" customHeight="true" outlineLevel="0" collapsed="false">
      <c r="A31" s="1" t="s">
        <v>111</v>
      </c>
      <c r="D31" s="31" t="n">
        <f aca="false">D6/Inputs!B7</f>
        <v>1.11111111111111E-005</v>
      </c>
    </row>
    <row r="32" customFormat="false" ht="15" hidden="false" customHeight="true" outlineLevel="0" collapsed="false">
      <c r="A32" s="1" t="s">
        <v>112</v>
      </c>
      <c r="D32" s="31" t="n">
        <f aca="false">D9/Inputs!B7</f>
        <v>83.3333333333333</v>
      </c>
    </row>
    <row r="33" customFormat="false" ht="15" hidden="false" customHeight="true" outlineLevel="0" collapsed="false">
      <c r="A33" s="1" t="s">
        <v>113</v>
      </c>
      <c r="D33" s="31" t="n">
        <f aca="false">D15/Inputs!B7</f>
        <v>0</v>
      </c>
    </row>
    <row r="34" customFormat="false" ht="15" hidden="false" customHeight="true" outlineLevel="0" collapsed="false">
      <c r="A34" s="1" t="s">
        <v>114</v>
      </c>
      <c r="D34" s="32" t="n">
        <f aca="false">D15/D6</f>
        <v>0</v>
      </c>
    </row>
    <row r="35" customFormat="false" ht="15" hidden="false" customHeight="true" outlineLevel="0" collapsed="false">
      <c r="A35" s="1" t="s">
        <v>115</v>
      </c>
      <c r="B35" s="1" t="n">
        <f aca="false">IF(D16="",0,D16)</f>
        <v>0</v>
      </c>
      <c r="D35" s="16" t="n">
        <f aca="false">IFERROR(D16,0)</f>
        <v>0</v>
      </c>
    </row>
    <row r="36" customFormat="false" ht="15" hidden="false" customHeight="true" outlineLevel="0" collapsed="false">
      <c r="A36" s="1" t="s">
        <v>116</v>
      </c>
      <c r="D36" s="10" t="n">
        <f aca="false">Inputs!B37</f>
        <v>0</v>
      </c>
      <c r="E36" s="1" t="s">
        <v>19</v>
      </c>
    </row>
    <row r="38" customFormat="false" ht="15" hidden="false" customHeight="true" outlineLevel="0" collapsed="false">
      <c r="A38" s="4" t="s">
        <v>117</v>
      </c>
      <c r="B38" s="4"/>
      <c r="C38" s="4"/>
      <c r="D38" s="4"/>
      <c r="E38" s="4"/>
    </row>
    <row r="39" customFormat="false" ht="15" hidden="false" customHeight="true" outlineLevel="0" collapsed="false">
      <c r="A39" s="23" t="s">
        <v>118</v>
      </c>
      <c r="B39" s="23" t="s">
        <v>119</v>
      </c>
      <c r="C39" s="23" t="s">
        <v>120</v>
      </c>
      <c r="D39" s="23" t="s">
        <v>121</v>
      </c>
    </row>
    <row r="40" customFormat="false" ht="15" hidden="false" customHeight="true" outlineLevel="0" collapsed="false">
      <c r="A40" s="1" t="s">
        <v>96</v>
      </c>
      <c r="B40" s="16" t="n">
        <f aca="false">D15</f>
        <v>0</v>
      </c>
      <c r="C40" s="16" t="n">
        <v>50000</v>
      </c>
      <c r="D40" s="1" t="str">
        <f aca="false">IF(B34&gt;=C34,"Above ✓","Below ⚠")</f>
        <v>Above ✓</v>
      </c>
    </row>
    <row r="41" customFormat="false" ht="15" hidden="false" customHeight="true" outlineLevel="0" collapsed="false">
      <c r="A41" s="1" t="s">
        <v>122</v>
      </c>
      <c r="B41" s="32" t="n">
        <f aca="false">D16</f>
        <v>0</v>
      </c>
      <c r="C41" s="32" t="n">
        <v>0.2</v>
      </c>
      <c r="D41" s="1" t="str">
        <f aca="false">IF(B35&gt;=C35,"Above ✓","Below ⚠")</f>
        <v>Above ✓</v>
      </c>
    </row>
    <row r="42" customFormat="false" ht="15" hidden="false" customHeight="true" outlineLevel="0" collapsed="false">
      <c r="A42" s="1" t="s">
        <v>123</v>
      </c>
      <c r="B42" s="32" t="n">
        <f aca="false">D28</f>
        <v>0</v>
      </c>
      <c r="C42" s="32" t="n">
        <v>0.15</v>
      </c>
      <c r="D42" s="1" t="str">
        <f aca="false">IF(B36&gt;=C36,"Above ✓","Below ⚠")</f>
        <v>Above ✓</v>
      </c>
    </row>
    <row r="44" customFormat="false" ht="17.25" hidden="false" customHeight="true" outlineLevel="0" collapsed="false">
      <c r="A44" s="33" t="s">
        <v>124</v>
      </c>
      <c r="B44" s="33"/>
      <c r="C44" s="33"/>
      <c r="D44" s="33"/>
      <c r="E44" s="33"/>
    </row>
    <row r="45" customFormat="false" ht="15" hidden="false" customHeight="true" outlineLevel="0" collapsed="false">
      <c r="A45" s="34" t="str">
        <f aca="false">IF(AND(D21="PASS ✓",D16&gt;=Inputs!B51),"PROCEED WITH DEAL - Meets 70% rule and ROI targets","CAUTION - Review assumptions carefully")</f>
        <v>CAUTION - Review assumptions carefully</v>
      </c>
      <c r="B45" s="34"/>
      <c r="C45" s="34"/>
      <c r="D45" s="34"/>
      <c r="E45" s="34"/>
    </row>
  </sheetData>
  <mergeCells count="10">
    <mergeCell ref="A1:E1"/>
    <mergeCell ref="A2:E2"/>
    <mergeCell ref="A4:E4"/>
    <mergeCell ref="A8:E8"/>
    <mergeCell ref="A16:E16"/>
    <mergeCell ref="A22:E22"/>
    <mergeCell ref="A29:E29"/>
    <mergeCell ref="A38:E38"/>
    <mergeCell ref="A44:E44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2025-11-03T17:29:49Z</dcterms:created>
  <dc:creator>openpyxl</dc:creator>
  <dc:description/>
  <dc:language>en-US</dc:language>
  <cp:lastModifiedBy/>
  <dcterms:modified xsi:type="dcterms:W3CDTF">2025-11-03T17:33:24Z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