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Inputs" sheetId="2" state="visible" r:id="rId4"/>
    <sheet name="ProForma" sheetId="3" state="visible" r:id="rId5"/>
    <sheet name="Unit Mix" sheetId="4" state="visible" r:id="rId6"/>
    <sheet name="Sensitivit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<sst xmlns="http://schemas.openxmlformats.org/spreadsheetml/2006/main" count="193" uniqueCount="151">
  <si>
    <t xml:space="preserve">MULTIFAMILY ACQUISITION ANALYSIS</t>
  </si>
  <si>
    <t xml:space="preserve">PROPERTY OVERVIEW</t>
  </si>
  <si>
    <t xml:space="preserve">Property Name:</t>
  </si>
  <si>
    <t xml:space="preserve">518 East 83rd Street</t>
  </si>
  <si>
    <t xml:space="preserve">Address:</t>
  </si>
  <si>
    <t xml:space="preserve">New York, NY 10028</t>
  </si>
  <si>
    <t xml:space="preserve">Total Units:</t>
  </si>
  <si>
    <t xml:space="preserve">Gross Floor Area (SF):</t>
  </si>
  <si>
    <t xml:space="preserve">Price per Unit:</t>
  </si>
  <si>
    <t xml:space="preserve">Price per SF:</t>
  </si>
  <si>
    <t xml:space="preserve">KEY METRICS</t>
  </si>
  <si>
    <t xml:space="preserve">In-Place Cap Rate:</t>
  </si>
  <si>
    <t xml:space="preserve">Proforma Cap Rate:</t>
  </si>
  <si>
    <t xml:space="preserve">Year 1 NOI:</t>
  </si>
  <si>
    <t xml:space="preserve">Year 1 Cash-on-Cash:</t>
  </si>
  <si>
    <t xml:space="preserve">ACQUISITION INPUTS</t>
  </si>
  <si>
    <t xml:space="preserve">PROPERTY INFORMATION</t>
  </si>
  <si>
    <t xml:space="preserve">Year Built:</t>
  </si>
  <si>
    <t xml:space="preserve">Building Class:</t>
  </si>
  <si>
    <t xml:space="preserve">C1</t>
  </si>
  <si>
    <t xml:space="preserve">ACQUISITION DETAILS</t>
  </si>
  <si>
    <t xml:space="preserve">Offering Price:</t>
  </si>
  <si>
    <t xml:space="preserve">Asking Price</t>
  </si>
  <si>
    <t xml:space="preserve">Purchase Price:</t>
  </si>
  <si>
    <t xml:space="preserve">Closing Costs (%):</t>
  </si>
  <si>
    <t xml:space="preserve">Closing Costs ($):</t>
  </si>
  <si>
    <t xml:space="preserve">Immediate CapEx:</t>
  </si>
  <si>
    <t xml:space="preserve">Total Acquisition Cost:</t>
  </si>
  <si>
    <t xml:space="preserve">CURRENT FINANCIALS</t>
  </si>
  <si>
    <t xml:space="preserve">In-Place Gross Rent:</t>
  </si>
  <si>
    <t xml:space="preserve">Vacancy Loss (%):</t>
  </si>
  <si>
    <t xml:space="preserve">Other Income:</t>
  </si>
  <si>
    <t xml:space="preserve">Effective Gross Income:</t>
  </si>
  <si>
    <t xml:space="preserve">Operating Expenses:</t>
  </si>
  <si>
    <t xml:space="preserve">In-Place NOI:</t>
  </si>
  <si>
    <t xml:space="preserve">Proforma NOI:</t>
  </si>
  <si>
    <t xml:space="preserve">OPERATING ASSUMPTIONS</t>
  </si>
  <si>
    <t xml:space="preserve">Annual Rent Growth:</t>
  </si>
  <si>
    <t xml:space="preserve">Annual Expense Growth:</t>
  </si>
  <si>
    <t xml:space="preserve">Stabilized Vacancy (%):</t>
  </si>
  <si>
    <t xml:space="preserve">CapEx Reserve (per unit):</t>
  </si>
  <si>
    <t xml:space="preserve">FINANCING TERMS</t>
  </si>
  <si>
    <t xml:space="preserve">Loan-to-Value (%):</t>
  </si>
  <si>
    <t xml:space="preserve">Loan Amount:</t>
  </si>
  <si>
    <t xml:space="preserve">Interest Rate:</t>
  </si>
  <si>
    <t xml:space="preserve">Amortization (Years):</t>
  </si>
  <si>
    <t xml:space="preserve">Annual Debt Service:</t>
  </si>
  <si>
    <t xml:space="preserve">EXIT ASSUMPTIONS</t>
  </si>
  <si>
    <t xml:space="preserve">Hold Period (Years):</t>
  </si>
  <si>
    <t xml:space="preserve">Exit Cap Rate:</t>
  </si>
  <si>
    <t xml:space="preserve">Selling Costs (%):</t>
  </si>
  <si>
    <t xml:space="preserve">10-YEAR PRO FORMA</t>
  </si>
  <si>
    <t xml:space="preserve">Acq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</si>
  <si>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</si>
  <si>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</si>
  <si>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</si>
  <si>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</si>
  <si>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</si>
  <si>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REVENUE</t>
  </si>
  <si>
    <t xml:space="preserve">Gross Rental Income</t>
  </si>
  <si>
    <t xml:space="preserve">Vacancy Loss</t>
  </si>
  <si>
    <t xml:space="preserve">Other Income</t>
  </si>
  <si>
    <t xml:space="preserve">Effective Gross Income</t>
  </si>
  <si>
    <t xml:space="preserve">OPERATING EXPENSES</t>
  </si>
  <si>
    <t xml:space="preserve">Property Taxes</t>
  </si>
  <si>
    <t xml:space="preserve">Insurance</t>
  </si>
  <si>
    <t xml:space="preserve">Utilities</t>
  </si>
  <si>
    <t xml:space="preserve">Repairs &amp; Maintenance</t>
  </si>
  <si>
    <t xml:space="preserve">Management Fee (4% of EGI)</t>
  </si>
  <si>
    <t xml:space="preserve">CapEx Reserve</t>
  </si>
  <si>
    <t xml:space="preserve">Total Operating Expenses</t>
  </si>
  <si>
    <t xml:space="preserve">NET OPERATING INCOME</t>
  </si>
  <si>
    <t xml:space="preserve">CASH FLOW</t>
  </si>
  <si>
    <t xml:space="preserve">Less: Debt Service</t>
  </si>
  <si>
    <t xml:space="preserve">Cash Flow Before Tax</t>
  </si>
  <si>
    <t xml:space="preserve">INVESTMENT SUMMARY</t>
  </si>
  <si>
    <t xml:space="preserve">Total Acquisition Cost</t>
  </si>
  <si>
    <t xml:space="preserve">Less: Loan Proceeds</t>
  </si>
  <si>
    <t xml:space="preserve">Equity Required</t>
  </si>
  <si>
    <t xml:space="preserve">UNIT MIX ANALYSIS</t>
  </si>
  <si>
    <t xml:space="preserve">Unit</t>
  </si>
  <si>
    <t xml:space="preserve">Status</t>
  </si>
  <si>
    <t xml:space="preserve">Beds/Baths</t>
  </si>
  <si>
    <t xml:space="preserve">SF</t>
  </si>
  <si>
    <t xml:space="preserve">Current Rent</t>
  </si>
  <si>
    <t xml:space="preserve">Market Rent</t>
  </si>
  <si>
    <t xml:space="preserve">Upside</t>
  </si>
  <si>
    <t xml:space="preserve">1A</t>
  </si>
  <si>
    <t xml:space="preserve">FM</t>
  </si>
  <si>
    <t xml:space="preserve">1/1</t>
  </si>
  <si>
    <t xml:space="preserve">1B</t>
  </si>
  <si>
    <t xml:space="preserve">1C</t>
  </si>
  <si>
    <t xml:space="preserve">Vacant</t>
  </si>
  <si>
    <t xml:space="preserve">2/2</t>
  </si>
  <si>
    <t xml:space="preserve">1D</t>
  </si>
  <si>
    <t xml:space="preserve">RS</t>
  </si>
  <si>
    <t xml:space="preserve">2A</t>
  </si>
  <si>
    <t xml:space="preserve">2B</t>
  </si>
  <si>
    <t xml:space="preserve">2C</t>
  </si>
  <si>
    <t xml:space="preserve">2D</t>
  </si>
  <si>
    <t xml:space="preserve">3A</t>
  </si>
  <si>
    <t xml:space="preserve">3B</t>
  </si>
  <si>
    <t xml:space="preserve">3C</t>
  </si>
  <si>
    <t xml:space="preserve">S/1</t>
  </si>
  <si>
    <t xml:space="preserve">3D</t>
  </si>
  <si>
    <t xml:space="preserve">4A</t>
  </si>
  <si>
    <t xml:space="preserve">4B</t>
  </si>
  <si>
    <t xml:space="preserve">4C</t>
  </si>
  <si>
    <t xml:space="preserve">4D</t>
  </si>
  <si>
    <t xml:space="preserve">5A</t>
  </si>
  <si>
    <t xml:space="preserve">5B</t>
  </si>
  <si>
    <t xml:space="preserve">5C</t>
  </si>
  <si>
    <t xml:space="preserve">5D</t>
  </si>
  <si>
    <t xml:space="preserve">TOTAL</t>
  </si>
  <si>
    <t xml:space="preserve">RENT ANALYSIS</t>
  </si>
  <si>
    <t xml:space="preserve">Avg Rent per Unit (In-Place):</t>
  </si>
  <si>
    <t xml:space="preserve">Avg Rent per Unit (Market):</t>
  </si>
  <si>
    <t xml:space="preserve">Avg Rent per SF (In-Place):</t>
  </si>
  <si>
    <t xml:space="preserve">Avg Rent per SF (Market):</t>
  </si>
  <si>
    <t xml:space="preserve">Annual Mark-to-Market Upside:</t>
  </si>
  <si>
    <t xml:space="preserve">Upside (%):</t>
  </si>
  <si>
    <t xml:space="preserve">SENSITIVITY ANALYSIS</t>
  </si>
  <si>
    <t xml:space="preserve">LEVERED IRR SENSITIVITY</t>
  </si>
  <si>
    <t xml:space="preserve">Exit Cap Rate Scenarios</t>
  </si>
  <si>
    <t xml:space="preserve">Scenario</t>
  </si>
  <si>
    <t xml:space="preserve">Exit Cap</t>
  </si>
  <si>
    <t xml:space="preserve">Exit NOI</t>
  </si>
  <si>
    <t xml:space="preserve">Exit Value</t>
  </si>
  <si>
    <t xml:space="preserve">Proceeds</t>
  </si>
  <si>
    <t xml:space="preserve">Levered IRR</t>
  </si>
  <si>
    <t xml:space="preserve">Base Case (5.5%)</t>
  </si>
  <si>
    <t xml:space="preserve">Optimistic (5.0%)</t>
  </si>
  <si>
    <t xml:space="preserve">Pessimistic (6.0%)</t>
  </si>
  <si>
    <t xml:space="preserve">Conservative (6.5%)</t>
  </si>
  <si>
    <t xml:space="preserve">PURCHASE PRICE SENSITIVITY</t>
  </si>
  <si>
    <t xml:space="preserve">Purchase Price Scenarios</t>
  </si>
  <si>
    <t xml:space="preserve">Price</t>
  </si>
  <si>
    <t xml:space="preserve">Entry Cap</t>
  </si>
  <si>
    <t xml:space="preserve">Price/Unit</t>
  </si>
  <si>
    <t xml:space="preserve">Price/SF</t>
  </si>
  <si>
    <t xml:space="preserve">5% Discount</t>
  </si>
  <si>
    <t xml:space="preserve">10% Discount</t>
  </si>
  <si>
    <t xml:space="preserve">List Price</t>
  </si>
  <si>
    <t xml:space="preserve">KEY INVESTMENT METRICS</t>
  </si>
  <si>
    <t xml:space="preserve">Metric</t>
  </si>
  <si>
    <t xml:space="preserve">Value</t>
  </si>
  <si>
    <t xml:space="preserve">Year 1 Cash-on-Cash</t>
  </si>
  <si>
    <t xml:space="preserve">Year 1 DSCR</t>
  </si>
  <si>
    <t xml:space="preserve">Stabilized Cap Rate</t>
  </si>
  <si>
    <t xml:space="preserve">Price per Unit</t>
  </si>
  <si>
    <t xml:space="preserve">Price per SF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</si>
</sst>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"/>
    <numFmt numFmtId="166" formatCode="#,##0"/>
    <numFmt numFmtId="167" formatCode="\$#,##0"/>
    <numFmt numFmtId="168" formatCode="0.00%"/>
    <numFmt numFmtId="169" formatCode="0.0%"/>
    <numFmt numFmtId="170" formatCode="\$#,##0;&quot;($&quot;#,##0\);\-"/>
    <numFmt numFmtId="171" formatCode="\$#,##0.00"/>
    <numFmt numFmtId="172" formatCode="0.00\x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Calibri"/>
      <family val="0"/>
      <charset val="1"/>
    </font>
    <font>
      <b val="true"/>
      <sz val="12"/>
      <color rgb="FF1F4E78"/>
      <name val="Calibri"/>
      <family val="0"/>
      <charset val="1"/>
    </font>
    <font>
      <sz val="11"/>
      <color rgb="FF0000FF"/>
      <name val="Calibri"/>
      <family val="0"/>
      <charset val="1"/>
    </font>
    <font>
      <sz val="11"/>
      <color rgb="FF000000"/>
      <name val="Calibri"/>
      <family val="0"/>
      <charset val="1"/>
    </font>
    <font>
      <i val="true"/>
      <sz val="10"/>
      <color rgb="FF666666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1F4E78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8"/>
  </cols>
  <sheetData>
    <row r="1" customFormat="false" ht="19.7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0" t="s">
        <v>2</v>
      </c>
      <c r="B4" s="3" t="s">
        <v>3</v>
      </c>
    </row>
    <row r="5" customFormat="false" ht="15" hidden="false" customHeight="false" outlineLevel="0" collapsed="false">
      <c r="A5" s="0" t="s">
        <v>4</v>
      </c>
      <c r="B5" s="3" t="s">
        <v>5</v>
      </c>
    </row>
    <row r="6" customFormat="false" ht="15" hidden="false" customHeight="false" outlineLevel="0" collapsed="false">
      <c r="A6" s="0" t="s">
        <v>6</v>
      </c>
      <c r="B6" s="4" t="n">
        <f aca="false">Inputs!B8</f>
        <v>20</v>
      </c>
    </row>
    <row r="7" customFormat="false" ht="15" hidden="false" customHeight="false" outlineLevel="0" collapsed="false">
      <c r="A7" s="0" t="s">
        <v>7</v>
      </c>
      <c r="B7" s="5" t="n">
        <f aca="false">Inputs!B9</f>
        <v>8120</v>
      </c>
    </row>
    <row r="8" customFormat="false" ht="15" hidden="false" customHeight="false" outlineLevel="0" collapsed="false">
      <c r="A8" s="0" t="s">
        <v>8</v>
      </c>
      <c r="B8" s="6" t="n">
        <f aca="false">Inputs!B13/Inputs!B8</f>
        <v>410000</v>
      </c>
    </row>
    <row r="9" customFormat="false" ht="15" hidden="false" customHeight="false" outlineLevel="0" collapsed="false">
      <c r="A9" s="0" t="s">
        <v>9</v>
      </c>
      <c r="B9" s="6" t="n">
        <f aca="false">Inputs!B13/Inputs!B9</f>
        <v>1009.85221674877</v>
      </c>
    </row>
    <row r="11" customFormat="false" ht="15" hidden="false" customHeight="false" outlineLevel="0" collapsed="false">
      <c r="A11" s="2" t="s">
        <v>10</v>
      </c>
    </row>
    <row r="12" customFormat="false" ht="15" hidden="false" customHeight="false" outlineLevel="0" collapsed="false">
      <c r="A12" s="0" t="s">
        <v>11</v>
      </c>
      <c r="B12" s="7" t="n">
        <f aca="false">Inputs!B25/Inputs!B13</f>
        <v>0.0407621902439024</v>
      </c>
    </row>
    <row r="13" customFormat="false" ht="15" hidden="false" customHeight="false" outlineLevel="0" collapsed="false">
      <c r="A13" s="0" t="s">
        <v>12</v>
      </c>
      <c r="B13" s="7" t="n">
        <f aca="false">Inputs!B26/Inputs!B13</f>
        <v>0.0573143902439024</v>
      </c>
    </row>
    <row r="14" customFormat="false" ht="15" hidden="false" customHeight="false" outlineLevel="0" collapsed="false">
      <c r="A14" s="0" t="s">
        <v>13</v>
      </c>
      <c r="B14" s="6" t="n">
        <f aca="false">ProForma!C20</f>
        <v>311233.61152</v>
      </c>
    </row>
    <row r="15" customFormat="false" ht="15" hidden="false" customHeight="false" outlineLevel="0" collapsed="false">
      <c r="A15" s="0" t="s">
        <v>14</v>
      </c>
      <c r="B15" s="8" t="n">
        <f aca="false">ProForma!C24/ProForma!B30</f>
        <v>-1.59281079871494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8"/>
  </cols>
  <sheetData>
    <row r="1" customFormat="false" ht="19.7" hidden="false" customHeight="false" outlineLevel="0" collapsed="false">
      <c r="A1" s="1" t="s">
        <v>15</v>
      </c>
    </row>
    <row r="3" customFormat="false" ht="15" hidden="false" customHeight="false" outlineLevel="0" collapsed="false">
      <c r="A3" s="2" t="s">
        <v>16</v>
      </c>
    </row>
    <row r="4" customFormat="false" ht="15" hidden="false" customHeight="false" outlineLevel="0" collapsed="false">
      <c r="A4" s="0" t="s">
        <v>2</v>
      </c>
      <c r="B4" s="3" t="s">
        <v>3</v>
      </c>
    </row>
    <row r="5" customFormat="false" ht="15" hidden="false" customHeight="false" outlineLevel="0" collapsed="false">
      <c r="A5" s="0" t="s">
        <v>4</v>
      </c>
      <c r="B5" s="3" t="s">
        <v>5</v>
      </c>
    </row>
    <row r="6" customFormat="false" ht="15" hidden="false" customHeight="false" outlineLevel="0" collapsed="false">
      <c r="A6" s="0" t="s">
        <v>17</v>
      </c>
      <c r="B6" s="3" t="n">
        <v>1910</v>
      </c>
    </row>
    <row r="7" customFormat="false" ht="15" hidden="false" customHeight="false" outlineLevel="0" collapsed="false">
      <c r="A7" s="0" t="s">
        <v>18</v>
      </c>
      <c r="B7" s="3" t="s">
        <v>19</v>
      </c>
    </row>
    <row r="8" customFormat="false" ht="15" hidden="false" customHeight="false" outlineLevel="0" collapsed="false">
      <c r="A8" s="0" t="s">
        <v>6</v>
      </c>
      <c r="B8" s="9" t="n">
        <v>20</v>
      </c>
    </row>
    <row r="9" customFormat="false" ht="15" hidden="false" customHeight="false" outlineLevel="0" collapsed="false">
      <c r="A9" s="0" t="s">
        <v>7</v>
      </c>
      <c r="B9" s="10" t="n">
        <v>8120</v>
      </c>
    </row>
    <row r="11" customFormat="false" ht="15" hidden="false" customHeight="false" outlineLevel="0" collapsed="false">
      <c r="A11" s="2" t="s">
        <v>20</v>
      </c>
    </row>
    <row r="12" customFormat="false" ht="15" hidden="false" customHeight="false" outlineLevel="0" collapsed="false">
      <c r="A12" s="0" t="s">
        <v>21</v>
      </c>
      <c r="B12" s="11" t="s">
        <v>22</v>
      </c>
    </row>
    <row r="13" customFormat="false" ht="15" hidden="false" customHeight="false" outlineLevel="0" collapsed="false">
      <c r="A13" s="0" t="s">
        <v>23</v>
      </c>
      <c r="B13" s="12" t="n">
        <v>8200000</v>
      </c>
    </row>
    <row r="14" customFormat="false" ht="15" hidden="false" customHeight="false" outlineLevel="0" collapsed="false">
      <c r="A14" s="0" t="s">
        <v>24</v>
      </c>
      <c r="B14" s="13" t="n">
        <v>0.025</v>
      </c>
    </row>
    <row r="15" customFormat="false" ht="15" hidden="false" customHeight="false" outlineLevel="0" collapsed="false">
      <c r="A15" s="0" t="s">
        <v>25</v>
      </c>
      <c r="B15" s="6" t="n">
        <f aca="false">B13*B14</f>
        <v>205000</v>
      </c>
    </row>
    <row r="16" customFormat="false" ht="15" hidden="false" customHeight="false" outlineLevel="0" collapsed="false">
      <c r="A16" s="0" t="s">
        <v>26</v>
      </c>
      <c r="B16" s="12" t="n">
        <v>0</v>
      </c>
    </row>
    <row r="17" customFormat="false" ht="15" hidden="false" customHeight="false" outlineLevel="0" collapsed="false">
      <c r="A17" s="0" t="s">
        <v>27</v>
      </c>
      <c r="B17" s="6" t="n">
        <f aca="false">B13+B15+B16</f>
        <v>8405000</v>
      </c>
    </row>
    <row r="19" customFormat="false" ht="15" hidden="false" customHeight="false" outlineLevel="0" collapsed="false">
      <c r="A19" s="2" t="s">
        <v>28</v>
      </c>
    </row>
    <row r="20" customFormat="false" ht="15" hidden="false" customHeight="false" outlineLevel="0" collapsed="false">
      <c r="A20" s="0" t="s">
        <v>29</v>
      </c>
      <c r="B20" s="12" t="n">
        <v>551152</v>
      </c>
    </row>
    <row r="21" customFormat="false" ht="15" hidden="false" customHeight="false" outlineLevel="0" collapsed="false">
      <c r="A21" s="0" t="s">
        <v>30</v>
      </c>
      <c r="B21" s="13" t="n">
        <v>0.02</v>
      </c>
    </row>
    <row r="22" customFormat="false" ht="15" hidden="false" customHeight="false" outlineLevel="0" collapsed="false">
      <c r="A22" s="0" t="s">
        <v>31</v>
      </c>
      <c r="B22" s="12" t="n">
        <v>8351</v>
      </c>
    </row>
    <row r="23" customFormat="false" ht="15" hidden="false" customHeight="false" outlineLevel="0" collapsed="false">
      <c r="A23" s="0" t="s">
        <v>32</v>
      </c>
      <c r="B23" s="6" t="n">
        <f aca="false">B20*(1-B21)+B22</f>
        <v>548479.96</v>
      </c>
    </row>
    <row r="24" customFormat="false" ht="15" hidden="false" customHeight="false" outlineLevel="0" collapsed="false">
      <c r="A24" s="0" t="s">
        <v>33</v>
      </c>
      <c r="B24" s="12" t="n">
        <v>214230</v>
      </c>
    </row>
    <row r="25" customFormat="false" ht="15" hidden="false" customHeight="false" outlineLevel="0" collapsed="false">
      <c r="A25" s="0" t="s">
        <v>34</v>
      </c>
      <c r="B25" s="6" t="n">
        <f aca="false">B23-B24</f>
        <v>334249.96</v>
      </c>
    </row>
    <row r="26" customFormat="false" ht="15" hidden="false" customHeight="false" outlineLevel="0" collapsed="false">
      <c r="A26" s="0" t="s">
        <v>35</v>
      </c>
      <c r="B26" s="12" t="n">
        <v>469978</v>
      </c>
    </row>
    <row r="28" customFormat="false" ht="15" hidden="false" customHeight="false" outlineLevel="0" collapsed="false">
      <c r="A28" s="2" t="s">
        <v>36</v>
      </c>
    </row>
    <row r="29" customFormat="false" ht="15" hidden="false" customHeight="false" outlineLevel="0" collapsed="false">
      <c r="A29" s="0" t="s">
        <v>37</v>
      </c>
      <c r="B29" s="13" t="n">
        <v>0.03</v>
      </c>
    </row>
    <row r="30" customFormat="false" ht="15" hidden="false" customHeight="false" outlineLevel="0" collapsed="false">
      <c r="A30" s="0" t="s">
        <v>38</v>
      </c>
      <c r="B30" s="13" t="n">
        <v>0.025</v>
      </c>
    </row>
    <row r="31" customFormat="false" ht="15" hidden="false" customHeight="false" outlineLevel="0" collapsed="false">
      <c r="A31" s="0" t="s">
        <v>39</v>
      </c>
      <c r="B31" s="13" t="n">
        <v>0.05</v>
      </c>
    </row>
    <row r="32" customFormat="false" ht="15" hidden="false" customHeight="false" outlineLevel="0" collapsed="false">
      <c r="A32" s="0" t="s">
        <v>40</v>
      </c>
      <c r="B32" s="12" t="n">
        <v>500</v>
      </c>
    </row>
    <row r="34" customFormat="false" ht="15" hidden="false" customHeight="false" outlineLevel="0" collapsed="false">
      <c r="A34" s="2" t="s">
        <v>41</v>
      </c>
    </row>
    <row r="35" customFormat="false" ht="15" hidden="false" customHeight="false" outlineLevel="0" collapsed="false">
      <c r="A35" s="0" t="s">
        <v>42</v>
      </c>
      <c r="B35" s="13" t="n">
        <v>0.65</v>
      </c>
    </row>
    <row r="36" customFormat="false" ht="15" hidden="false" customHeight="false" outlineLevel="0" collapsed="false">
      <c r="A36" s="0" t="s">
        <v>43</v>
      </c>
      <c r="B36" s="6" t="n">
        <f aca="false">B13*B35</f>
        <v>5330000</v>
      </c>
    </row>
    <row r="37" customFormat="false" ht="15" hidden="false" customHeight="false" outlineLevel="0" collapsed="false">
      <c r="A37" s="0" t="s">
        <v>44</v>
      </c>
      <c r="B37" s="14" t="n">
        <v>0.065</v>
      </c>
    </row>
    <row r="38" customFormat="false" ht="15" hidden="false" customHeight="false" outlineLevel="0" collapsed="false">
      <c r="A38" s="0" t="s">
        <v>45</v>
      </c>
      <c r="B38" s="9" t="n">
        <v>30</v>
      </c>
    </row>
    <row r="39" customFormat="false" ht="15" hidden="false" customHeight="false" outlineLevel="0" collapsed="false">
      <c r="A39" s="0" t="s">
        <v>46</v>
      </c>
      <c r="B39" s="6" t="n">
        <f aca="false">PMT(B37,B38,B36)*-12</f>
        <v>4897893.20604844</v>
      </c>
    </row>
    <row r="41" customFormat="false" ht="15" hidden="false" customHeight="false" outlineLevel="0" collapsed="false">
      <c r="A41" s="2" t="s">
        <v>47</v>
      </c>
    </row>
    <row r="42" customFormat="false" ht="15" hidden="false" customHeight="false" outlineLevel="0" collapsed="false">
      <c r="A42" s="0" t="s">
        <v>48</v>
      </c>
      <c r="B42" s="9" t="n">
        <v>5</v>
      </c>
    </row>
    <row r="43" customFormat="false" ht="15" hidden="false" customHeight="false" outlineLevel="0" collapsed="false">
      <c r="A43" s="0" t="s">
        <v>49</v>
      </c>
      <c r="B43" s="14" t="n">
        <v>0.055</v>
      </c>
    </row>
    <row r="44" customFormat="false" ht="15" hidden="false" customHeight="false" outlineLevel="0" collapsed="false">
      <c r="A44" s="0" t="s">
        <v>50</v>
      </c>
      <c r="B44" s="13" t="n">
        <v>0.06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7" min="2" style="0" width="14"/>
  </cols>
  <sheetData>
    <row r="1" customFormat="false" ht="19.7" hidden="false" customHeight="false" outlineLevel="0" collapsed="false">
      <c r="A1" s="1" t="s">
        <v>51</v>
      </c>
    </row>
    <row r="3" customFormat="false" ht="15" hidden="false" customHeight="false" outlineLevel="0" collapsed="false">
      <c r="B3" s="15" t="s">
        <v>52</v>
      </c>
      <c r="C3" s="15" t="s">
        <v>53</v>
      </c>
      <c r="D3" s="15" t="s">
        <v>54</v>
      </c>
      <c r="E3" s="15" t="s">
        <v>55</v>
      </c>
      <c r="F3" s="15" t="s">
        <v>56</v>
      </c>
      <c r="G3" s="15" t="s">
        <v>57</v>
      </c>
    </row>
    <row r="5" customFormat="false" ht="15" hidden="false" customHeight="false" outlineLevel="0" collapsed="false">
      <c r="A5" s="2" t="s">
        <v>58</v>
      </c>
    </row>
    <row r="6" customFormat="false" ht="15" hidden="false" customHeight="false" outlineLevel="0" collapsed="false">
      <c r="A6" s="0" t="s">
        <v>59</v>
      </c>
      <c r="B6" s="16" t="n">
        <f aca="false">Inputs!B20</f>
        <v>551152</v>
      </c>
      <c r="C6" s="16" t="n">
        <f aca="false">B6*(1+Inputs!$B$29)</f>
        <v>567686.56</v>
      </c>
      <c r="D6" s="16" t="n">
        <f aca="false">C6*(1+Inputs!$B$29)</f>
        <v>584717.1568</v>
      </c>
      <c r="E6" s="16" t="n">
        <f aca="false">D6*(1+Inputs!$B$29)</f>
        <v>602258.671504</v>
      </c>
      <c r="F6" s="16" t="n">
        <f aca="false">E6*(1+Inputs!$B$29)</f>
        <v>620326.43164912</v>
      </c>
      <c r="G6" s="16" t="n">
        <f aca="false">F6*(1+Inputs!$B$29)</f>
        <v>638936.224598594</v>
      </c>
    </row>
    <row r="7" customFormat="false" ht="15" hidden="false" customHeight="false" outlineLevel="0" collapsed="false">
      <c r="A7" s="0" t="s">
        <v>60</v>
      </c>
      <c r="B7" s="17" t="n">
        <f aca="false">-B6*Inputs!$B$31</f>
        <v>-27557.6</v>
      </c>
      <c r="C7" s="17" t="n">
        <f aca="false">-C6*Inputs!$B$31</f>
        <v>-28384.328</v>
      </c>
      <c r="D7" s="17" t="n">
        <f aca="false">-D6*Inputs!$B$31</f>
        <v>-29235.85784</v>
      </c>
      <c r="E7" s="17" t="n">
        <f aca="false">-E6*Inputs!$B$31</f>
        <v>-30112.9335752</v>
      </c>
      <c r="F7" s="17" t="n">
        <f aca="false">-F6*Inputs!$B$31</f>
        <v>-31016.321582456</v>
      </c>
      <c r="G7" s="17" t="n">
        <f aca="false">-G6*Inputs!$B$31</f>
        <v>-31946.8112299297</v>
      </c>
    </row>
    <row r="8" customFormat="false" ht="15" hidden="false" customHeight="false" outlineLevel="0" collapsed="false">
      <c r="A8" s="0" t="s">
        <v>61</v>
      </c>
      <c r="B8" s="16" t="n">
        <f aca="false">Inputs!B22</f>
        <v>8351</v>
      </c>
      <c r="C8" s="16" t="n">
        <f aca="false">B8*(1+Inputs!$B$29)</f>
        <v>8601.53</v>
      </c>
      <c r="D8" s="16" t="n">
        <f aca="false">C8*(1+Inputs!$B$29)</f>
        <v>8859.5759</v>
      </c>
      <c r="E8" s="16" t="n">
        <f aca="false">D8*(1+Inputs!$B$29)</f>
        <v>9125.363177</v>
      </c>
      <c r="F8" s="16" t="n">
        <f aca="false">E8*(1+Inputs!$B$29)</f>
        <v>9399.12407231</v>
      </c>
      <c r="G8" s="16" t="n">
        <f aca="false">F8*(1+Inputs!$B$29)</f>
        <v>9681.0977944793</v>
      </c>
    </row>
    <row r="9" customFormat="false" ht="15" hidden="false" customHeight="false" outlineLevel="0" collapsed="false">
      <c r="A9" s="0" t="s">
        <v>62</v>
      </c>
      <c r="B9" s="18" t="n">
        <f aca="false">SUM(B6:B8)</f>
        <v>531945.4</v>
      </c>
      <c r="C9" s="18" t="n">
        <f aca="false">SUM(C6:C8)</f>
        <v>547903.762</v>
      </c>
      <c r="D9" s="18" t="n">
        <f aca="false">SUM(D6:D8)</f>
        <v>564340.87486</v>
      </c>
      <c r="E9" s="18" t="n">
        <f aca="false">SUM(E6:E8)</f>
        <v>581271.1011058</v>
      </c>
      <c r="F9" s="18" t="n">
        <f aca="false">SUM(F6:F8)</f>
        <v>598709.234138974</v>
      </c>
      <c r="G9" s="18" t="n">
        <f aca="false">SUM(G6:G8)</f>
        <v>616670.511163143</v>
      </c>
    </row>
    <row r="11" customFormat="false" ht="15" hidden="false" customHeight="false" outlineLevel="0" collapsed="false">
      <c r="A11" s="2" t="s">
        <v>63</v>
      </c>
    </row>
    <row r="12" customFormat="false" ht="15" hidden="false" customHeight="false" outlineLevel="0" collapsed="false">
      <c r="A12" s="0" t="s">
        <v>64</v>
      </c>
      <c r="B12" s="12" t="n">
        <v>128935</v>
      </c>
      <c r="C12" s="16" t="n">
        <f aca="false">B12*(1+Inputs!$B$30)</f>
        <v>132158.375</v>
      </c>
      <c r="D12" s="16" t="n">
        <f aca="false">C12*(1+Inputs!$B$30)</f>
        <v>135462.334375</v>
      </c>
      <c r="E12" s="16" t="n">
        <f aca="false">D12*(1+Inputs!$B$30)</f>
        <v>138848.892734375</v>
      </c>
      <c r="F12" s="16" t="n">
        <f aca="false">E12*(1+Inputs!$B$30)</f>
        <v>142320.115052734</v>
      </c>
      <c r="G12" s="16" t="n">
        <f aca="false">F12*(1+Inputs!$B$30)</f>
        <v>145878.117929053</v>
      </c>
    </row>
    <row r="13" customFormat="false" ht="15" hidden="false" customHeight="false" outlineLevel="0" collapsed="false">
      <c r="A13" s="0" t="s">
        <v>65</v>
      </c>
      <c r="B13" s="12" t="n">
        <v>12065</v>
      </c>
      <c r="C13" s="16" t="n">
        <f aca="false">B13*(1+Inputs!$B$30)</f>
        <v>12366.625</v>
      </c>
      <c r="D13" s="16" t="n">
        <f aca="false">C13*(1+Inputs!$B$30)</f>
        <v>12675.790625</v>
      </c>
      <c r="E13" s="16" t="n">
        <f aca="false">D13*(1+Inputs!$B$30)</f>
        <v>12992.685390625</v>
      </c>
      <c r="F13" s="16" t="n">
        <f aca="false">E13*(1+Inputs!$B$30)</f>
        <v>13317.5025253906</v>
      </c>
      <c r="G13" s="16" t="n">
        <f aca="false">F13*(1+Inputs!$B$30)</f>
        <v>13650.4400885254</v>
      </c>
    </row>
    <row r="14" customFormat="false" ht="15" hidden="false" customHeight="false" outlineLevel="0" collapsed="false">
      <c r="A14" s="0" t="s">
        <v>66</v>
      </c>
      <c r="B14" s="12" t="n">
        <v>36900</v>
      </c>
      <c r="C14" s="16" t="n">
        <f aca="false">B14*(1+Inputs!$B$30)</f>
        <v>37822.5</v>
      </c>
      <c r="D14" s="16" t="n">
        <f aca="false">C14*(1+Inputs!$B$30)</f>
        <v>38768.0625</v>
      </c>
      <c r="E14" s="16" t="n">
        <f aca="false">D14*(1+Inputs!$B$30)</f>
        <v>39737.2640625</v>
      </c>
      <c r="F14" s="16" t="n">
        <f aca="false">E14*(1+Inputs!$B$30)</f>
        <v>40730.6956640625</v>
      </c>
      <c r="G14" s="16" t="n">
        <f aca="false">F14*(1+Inputs!$B$30)</f>
        <v>41748.9630556641</v>
      </c>
    </row>
    <row r="15" customFormat="false" ht="15" hidden="false" customHeight="false" outlineLevel="0" collapsed="false">
      <c r="A15" s="0" t="s">
        <v>67</v>
      </c>
      <c r="B15" s="12" t="n">
        <v>21860</v>
      </c>
      <c r="C15" s="16" t="n">
        <f aca="false">B15*(1+Inputs!$B$30)</f>
        <v>22406.5</v>
      </c>
      <c r="D15" s="16" t="n">
        <f aca="false">C15*(1+Inputs!$B$30)</f>
        <v>22966.6625</v>
      </c>
      <c r="E15" s="16" t="n">
        <f aca="false">D15*(1+Inputs!$B$30)</f>
        <v>23540.8290625</v>
      </c>
      <c r="F15" s="16" t="n">
        <f aca="false">E15*(1+Inputs!$B$30)</f>
        <v>24129.3497890625</v>
      </c>
      <c r="G15" s="16" t="n">
        <f aca="false">F15*(1+Inputs!$B$30)</f>
        <v>24732.5835337891</v>
      </c>
    </row>
    <row r="16" customFormat="false" ht="15" hidden="false" customHeight="false" outlineLevel="0" collapsed="false">
      <c r="A16" s="0" t="s">
        <v>68</v>
      </c>
      <c r="B16" s="16" t="n">
        <f aca="false">B9*0.04</f>
        <v>21277.816</v>
      </c>
      <c r="C16" s="16" t="n">
        <f aca="false">C9*0.04</f>
        <v>21916.15048</v>
      </c>
      <c r="D16" s="16" t="n">
        <f aca="false">D9*0.04</f>
        <v>22573.6349944</v>
      </c>
      <c r="E16" s="16" t="n">
        <f aca="false">E9*0.04</f>
        <v>23250.844044232</v>
      </c>
      <c r="F16" s="16" t="n">
        <f aca="false">F9*0.04</f>
        <v>23948.369365559</v>
      </c>
      <c r="G16" s="16" t="n">
        <f aca="false">G9*0.04</f>
        <v>24666.8204465257</v>
      </c>
    </row>
    <row r="17" customFormat="false" ht="15" hidden="false" customHeight="false" outlineLevel="0" collapsed="false">
      <c r="A17" s="0" t="s">
        <v>69</v>
      </c>
      <c r="B17" s="16" t="n">
        <f aca="false">Inputs!$B$8*Inputs!$B$32</f>
        <v>10000</v>
      </c>
      <c r="C17" s="16" t="n">
        <f aca="false">Inputs!$B$8*Inputs!$B$32</f>
        <v>10000</v>
      </c>
      <c r="D17" s="16" t="n">
        <f aca="false">Inputs!$B$8*Inputs!$B$32</f>
        <v>10000</v>
      </c>
      <c r="E17" s="16" t="n">
        <f aca="false">Inputs!$B$8*Inputs!$B$32</f>
        <v>10000</v>
      </c>
      <c r="F17" s="16" t="n">
        <f aca="false">Inputs!$B$8*Inputs!$B$32</f>
        <v>10000</v>
      </c>
      <c r="G17" s="16" t="n">
        <f aca="false">Inputs!$B$8*Inputs!$B$32</f>
        <v>10000</v>
      </c>
    </row>
    <row r="18" customFormat="false" ht="15" hidden="false" customHeight="false" outlineLevel="0" collapsed="false">
      <c r="A18" s="0" t="s">
        <v>70</v>
      </c>
      <c r="B18" s="18" t="n">
        <f aca="false">SUM(B12:B17)</f>
        <v>231037.816</v>
      </c>
      <c r="C18" s="18" t="n">
        <f aca="false">SUM(C12:C17)</f>
        <v>236670.15048</v>
      </c>
      <c r="D18" s="18" t="n">
        <f aca="false">SUM(D12:D17)</f>
        <v>242446.4849944</v>
      </c>
      <c r="E18" s="18" t="n">
        <f aca="false">SUM(E12:E17)</f>
        <v>248370.515294232</v>
      </c>
      <c r="F18" s="18" t="n">
        <f aca="false">SUM(F12:F17)</f>
        <v>254446.032396809</v>
      </c>
      <c r="G18" s="18" t="n">
        <f aca="false">SUM(G12:G17)</f>
        <v>260676.925053557</v>
      </c>
    </row>
    <row r="20" customFormat="false" ht="15" hidden="false" customHeight="false" outlineLevel="0" collapsed="false">
      <c r="A20" s="19" t="s">
        <v>71</v>
      </c>
      <c r="B20" s="20" t="n">
        <f aca="false">B9-B18</f>
        <v>300907.584</v>
      </c>
      <c r="C20" s="20" t="n">
        <f aca="false">C9-C18</f>
        <v>311233.61152</v>
      </c>
      <c r="D20" s="20" t="n">
        <f aca="false">D9-D18</f>
        <v>321894.3898656</v>
      </c>
      <c r="E20" s="20" t="n">
        <f aca="false">E9-E18</f>
        <v>332900.585811568</v>
      </c>
      <c r="F20" s="20" t="n">
        <f aca="false">F9-F18</f>
        <v>344263.201742165</v>
      </c>
      <c r="G20" s="20" t="n">
        <f aca="false">G9-G18</f>
        <v>355993.586109586</v>
      </c>
    </row>
    <row r="22" customFormat="false" ht="15" hidden="false" customHeight="false" outlineLevel="0" collapsed="false">
      <c r="A22" s="2" t="s">
        <v>72</v>
      </c>
    </row>
    <row r="23" customFormat="false" ht="15" hidden="false" customHeight="false" outlineLevel="0" collapsed="false">
      <c r="A23" s="0" t="s">
        <v>73</v>
      </c>
      <c r="B23" s="17" t="n">
        <f aca="false">-Inputs!$B$39</f>
        <v>-4897893.20604844</v>
      </c>
      <c r="C23" s="17" t="n">
        <f aca="false">-Inputs!$B$39</f>
        <v>-4897893.20604844</v>
      </c>
      <c r="D23" s="17" t="n">
        <f aca="false">-Inputs!$B$39</f>
        <v>-4897893.20604844</v>
      </c>
      <c r="E23" s="17" t="n">
        <f aca="false">-Inputs!$B$39</f>
        <v>-4897893.20604844</v>
      </c>
      <c r="F23" s="17" t="n">
        <f aca="false">-Inputs!$B$39</f>
        <v>-4897893.20604844</v>
      </c>
      <c r="G23" s="17" t="n">
        <f aca="false">-Inputs!$B$39</f>
        <v>-4897893.20604844</v>
      </c>
    </row>
    <row r="24" customFormat="false" ht="15" hidden="false" customHeight="false" outlineLevel="0" collapsed="false">
      <c r="A24" s="0" t="s">
        <v>74</v>
      </c>
      <c r="B24" s="18" t="n">
        <f aca="false">B21+B23</f>
        <v>-4897893.20604844</v>
      </c>
      <c r="C24" s="18" t="n">
        <f aca="false">C21+C23</f>
        <v>-4897893.20604844</v>
      </c>
      <c r="D24" s="18" t="n">
        <f aca="false">D21+D23</f>
        <v>-4897893.20604844</v>
      </c>
      <c r="E24" s="18" t="n">
        <f aca="false">E21+E23</f>
        <v>-4897893.20604844</v>
      </c>
      <c r="F24" s="18" t="n">
        <f aca="false">F21+F23</f>
        <v>-4897893.20604844</v>
      </c>
      <c r="G24" s="18" t="n">
        <f aca="false">G21+G23</f>
        <v>-4897893.20604844</v>
      </c>
    </row>
    <row r="27" customFormat="false" ht="15" hidden="false" customHeight="false" outlineLevel="0" collapsed="false">
      <c r="A27" s="2" t="s">
        <v>75</v>
      </c>
    </row>
    <row r="28" customFormat="false" ht="15" hidden="false" customHeight="false" outlineLevel="0" collapsed="false">
      <c r="A28" s="0" t="s">
        <v>76</v>
      </c>
      <c r="B28" s="16" t="n">
        <f aca="false">Inputs!B17</f>
        <v>8405000</v>
      </c>
    </row>
    <row r="29" customFormat="false" ht="15" hidden="false" customHeight="false" outlineLevel="0" collapsed="false">
      <c r="A29" s="0" t="s">
        <v>77</v>
      </c>
      <c r="B29" s="17" t="n">
        <f aca="false">-Inputs!B36</f>
        <v>-5330000</v>
      </c>
    </row>
    <row r="30" customFormat="false" ht="15" hidden="false" customHeight="false" outlineLevel="0" collapsed="false">
      <c r="A30" s="0" t="s">
        <v>78</v>
      </c>
      <c r="B30" s="20" t="n">
        <f aca="false">B28+B29</f>
        <v>3075000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7" min="5" style="0" width="14"/>
  </cols>
  <sheetData>
    <row r="1" customFormat="false" ht="19.7" hidden="false" customHeight="false" outlineLevel="0" collapsed="false">
      <c r="A1" s="21" t="s">
        <v>79</v>
      </c>
      <c r="B1" s="21"/>
      <c r="C1" s="21"/>
      <c r="D1" s="21"/>
      <c r="E1" s="21"/>
      <c r="F1" s="21"/>
      <c r="G1" s="21"/>
    </row>
    <row r="3" customFormat="false" ht="15" hidden="false" customHeight="false" outlineLevel="0" collapsed="false">
      <c r="A3" s="15" t="s">
        <v>80</v>
      </c>
      <c r="B3" s="15" t="s">
        <v>81</v>
      </c>
      <c r="C3" s="15" t="s">
        <v>82</v>
      </c>
      <c r="D3" s="15" t="s">
        <v>83</v>
      </c>
      <c r="E3" s="15" t="s">
        <v>84</v>
      </c>
      <c r="F3" s="15" t="s">
        <v>85</v>
      </c>
      <c r="G3" s="15" t="s">
        <v>86</v>
      </c>
    </row>
    <row r="4" customFormat="false" ht="15" hidden="false" customHeight="false" outlineLevel="0" collapsed="false">
      <c r="A4" s="0" t="s">
        <v>87</v>
      </c>
      <c r="B4" s="0" t="s">
        <v>88</v>
      </c>
      <c r="C4" s="0" t="s">
        <v>89</v>
      </c>
      <c r="D4" s="22" t="n">
        <v>320</v>
      </c>
      <c r="E4" s="16" t="n">
        <v>2480</v>
      </c>
      <c r="F4" s="16" t="n">
        <v>2675</v>
      </c>
      <c r="G4" s="16" t="n">
        <f aca="false">F4-E4</f>
        <v>195</v>
      </c>
    </row>
    <row r="5" customFormat="false" ht="15" hidden="false" customHeight="false" outlineLevel="0" collapsed="false">
      <c r="A5" s="0" t="s">
        <v>90</v>
      </c>
      <c r="B5" s="0" t="s">
        <v>88</v>
      </c>
      <c r="C5" s="0" t="s">
        <v>89</v>
      </c>
      <c r="D5" s="22" t="n">
        <v>325</v>
      </c>
      <c r="E5" s="16" t="n">
        <v>2550</v>
      </c>
      <c r="F5" s="16" t="n">
        <v>2805</v>
      </c>
      <c r="G5" s="16" t="n">
        <f aca="false">F5-E5</f>
        <v>255</v>
      </c>
    </row>
    <row r="6" customFormat="false" ht="15" hidden="false" customHeight="false" outlineLevel="0" collapsed="false">
      <c r="A6" s="0" t="s">
        <v>91</v>
      </c>
      <c r="B6" s="0" t="s">
        <v>92</v>
      </c>
      <c r="C6" s="0" t="s">
        <v>93</v>
      </c>
      <c r="D6" s="22" t="n">
        <v>900</v>
      </c>
      <c r="E6" s="16" t="n">
        <v>0</v>
      </c>
      <c r="F6" s="16" t="n">
        <v>5500</v>
      </c>
      <c r="G6" s="16" t="n">
        <f aca="false">F6-E6</f>
        <v>5500</v>
      </c>
    </row>
    <row r="7" customFormat="false" ht="15" hidden="false" customHeight="false" outlineLevel="0" collapsed="false">
      <c r="A7" s="0" t="s">
        <v>94</v>
      </c>
      <c r="B7" s="0" t="s">
        <v>95</v>
      </c>
      <c r="C7" s="0" t="s">
        <v>89</v>
      </c>
      <c r="D7" s="22" t="n">
        <v>425</v>
      </c>
      <c r="E7" s="16" t="n">
        <v>834</v>
      </c>
      <c r="F7" s="16" t="n">
        <v>834</v>
      </c>
      <c r="G7" s="16" t="n">
        <f aca="false">F7-E7</f>
        <v>0</v>
      </c>
    </row>
    <row r="8" customFormat="false" ht="15" hidden="false" customHeight="false" outlineLevel="0" collapsed="false">
      <c r="A8" s="0" t="s">
        <v>96</v>
      </c>
      <c r="B8" s="0" t="s">
        <v>88</v>
      </c>
      <c r="C8" s="0" t="s">
        <v>89</v>
      </c>
      <c r="D8" s="22" t="n">
        <v>425</v>
      </c>
      <c r="E8" s="16" t="n">
        <v>2595</v>
      </c>
      <c r="F8" s="16" t="n">
        <v>2810</v>
      </c>
      <c r="G8" s="16" t="n">
        <f aca="false">F8-E8</f>
        <v>215</v>
      </c>
    </row>
    <row r="9" customFormat="false" ht="15" hidden="false" customHeight="false" outlineLevel="0" collapsed="false">
      <c r="A9" s="0" t="s">
        <v>97</v>
      </c>
      <c r="B9" s="0" t="s">
        <v>88</v>
      </c>
      <c r="C9" s="0" t="s">
        <v>89</v>
      </c>
      <c r="D9" s="22" t="n">
        <v>425</v>
      </c>
      <c r="E9" s="16" t="n">
        <v>2800</v>
      </c>
      <c r="F9" s="16" t="n">
        <v>2830</v>
      </c>
      <c r="G9" s="16" t="n">
        <f aca="false">F9-E9</f>
        <v>30</v>
      </c>
    </row>
    <row r="10" customFormat="false" ht="15" hidden="false" customHeight="false" outlineLevel="0" collapsed="false">
      <c r="A10" s="0" t="s">
        <v>98</v>
      </c>
      <c r="B10" s="0" t="s">
        <v>88</v>
      </c>
      <c r="C10" s="0" t="s">
        <v>89</v>
      </c>
      <c r="D10" s="22" t="n">
        <v>400</v>
      </c>
      <c r="E10" s="16" t="n">
        <v>2700</v>
      </c>
      <c r="F10" s="16" t="n">
        <v>2820</v>
      </c>
      <c r="G10" s="16" t="n">
        <f aca="false">F10-E10</f>
        <v>120</v>
      </c>
    </row>
    <row r="11" customFormat="false" ht="15" hidden="false" customHeight="false" outlineLevel="0" collapsed="false">
      <c r="A11" s="0" t="s">
        <v>99</v>
      </c>
      <c r="B11" s="0" t="s">
        <v>88</v>
      </c>
      <c r="C11" s="0" t="s">
        <v>89</v>
      </c>
      <c r="D11" s="22" t="n">
        <v>400</v>
      </c>
      <c r="E11" s="16" t="n">
        <v>2500</v>
      </c>
      <c r="F11" s="16" t="n">
        <v>2800</v>
      </c>
      <c r="G11" s="16" t="n">
        <f aca="false">F11-E11</f>
        <v>300</v>
      </c>
    </row>
    <row r="12" customFormat="false" ht="15" hidden="false" customHeight="false" outlineLevel="0" collapsed="false">
      <c r="A12" s="0" t="s">
        <v>100</v>
      </c>
      <c r="B12" s="0" t="s">
        <v>92</v>
      </c>
      <c r="C12" s="0" t="s">
        <v>89</v>
      </c>
      <c r="D12" s="22" t="n">
        <v>425</v>
      </c>
      <c r="E12" s="16" t="n">
        <v>0</v>
      </c>
      <c r="F12" s="16" t="n">
        <v>3400</v>
      </c>
      <c r="G12" s="16" t="n">
        <f aca="false">F12-E12</f>
        <v>3400</v>
      </c>
    </row>
    <row r="13" customFormat="false" ht="15" hidden="false" customHeight="false" outlineLevel="0" collapsed="false">
      <c r="A13" s="0" t="s">
        <v>101</v>
      </c>
      <c r="B13" s="0" t="s">
        <v>88</v>
      </c>
      <c r="C13" s="0" t="s">
        <v>89</v>
      </c>
      <c r="D13" s="22" t="n">
        <v>425</v>
      </c>
      <c r="E13" s="16" t="n">
        <v>3000</v>
      </c>
      <c r="F13" s="16" t="n">
        <v>2850</v>
      </c>
      <c r="G13" s="16" t="n">
        <f aca="false">F13-E13</f>
        <v>-150</v>
      </c>
    </row>
    <row r="14" customFormat="false" ht="15" hidden="false" customHeight="false" outlineLevel="0" collapsed="false">
      <c r="A14" s="0" t="s">
        <v>102</v>
      </c>
      <c r="B14" s="0" t="s">
        <v>88</v>
      </c>
      <c r="C14" s="0" t="s">
        <v>103</v>
      </c>
      <c r="D14" s="22" t="n">
        <v>400</v>
      </c>
      <c r="E14" s="16" t="n">
        <v>2600</v>
      </c>
      <c r="F14" s="16" t="n">
        <v>2810</v>
      </c>
      <c r="G14" s="16" t="n">
        <f aca="false">F14-E14</f>
        <v>210</v>
      </c>
    </row>
    <row r="15" customFormat="false" ht="15" hidden="false" customHeight="false" outlineLevel="0" collapsed="false">
      <c r="A15" s="0" t="s">
        <v>104</v>
      </c>
      <c r="B15" s="0" t="s">
        <v>88</v>
      </c>
      <c r="C15" s="0" t="s">
        <v>89</v>
      </c>
      <c r="D15" s="22" t="n">
        <v>400</v>
      </c>
      <c r="E15" s="16" t="n">
        <v>2595</v>
      </c>
      <c r="F15" s="16" t="n">
        <v>2810</v>
      </c>
      <c r="G15" s="16" t="n">
        <f aca="false">F15-E15</f>
        <v>215</v>
      </c>
    </row>
    <row r="16" customFormat="false" ht="15" hidden="false" customHeight="false" outlineLevel="0" collapsed="false">
      <c r="A16" s="0" t="s">
        <v>105</v>
      </c>
      <c r="B16" s="0" t="s">
        <v>88</v>
      </c>
      <c r="C16" s="0" t="s">
        <v>89</v>
      </c>
      <c r="D16" s="22" t="n">
        <v>425</v>
      </c>
      <c r="E16" s="16" t="n">
        <v>2575</v>
      </c>
      <c r="F16" s="16" t="n">
        <v>2808</v>
      </c>
      <c r="G16" s="16" t="n">
        <f aca="false">F16-E16</f>
        <v>233</v>
      </c>
    </row>
    <row r="17" customFormat="false" ht="15" hidden="false" customHeight="false" outlineLevel="0" collapsed="false">
      <c r="A17" s="0" t="s">
        <v>106</v>
      </c>
      <c r="B17" s="0" t="s">
        <v>88</v>
      </c>
      <c r="C17" s="0" t="s">
        <v>89</v>
      </c>
      <c r="D17" s="22" t="n">
        <v>425</v>
      </c>
      <c r="E17" s="16" t="n">
        <v>2800</v>
      </c>
      <c r="F17" s="16" t="n">
        <v>2830</v>
      </c>
      <c r="G17" s="16" t="n">
        <f aca="false">F17-E17</f>
        <v>30</v>
      </c>
    </row>
    <row r="18" customFormat="false" ht="15" hidden="false" customHeight="false" outlineLevel="0" collapsed="false">
      <c r="A18" s="0" t="s">
        <v>107</v>
      </c>
      <c r="B18" s="0" t="s">
        <v>88</v>
      </c>
      <c r="C18" s="0" t="s">
        <v>89</v>
      </c>
      <c r="D18" s="22" t="n">
        <v>400</v>
      </c>
      <c r="E18" s="16" t="n">
        <v>2500</v>
      </c>
      <c r="F18" s="16" t="n">
        <v>2800</v>
      </c>
      <c r="G18" s="16" t="n">
        <f aca="false">F18-E18</f>
        <v>300</v>
      </c>
    </row>
    <row r="19" customFormat="false" ht="15" hidden="false" customHeight="false" outlineLevel="0" collapsed="false">
      <c r="A19" s="0" t="s">
        <v>108</v>
      </c>
      <c r="B19" s="0" t="s">
        <v>88</v>
      </c>
      <c r="C19" s="0" t="s">
        <v>103</v>
      </c>
      <c r="D19" s="22" t="n">
        <v>400</v>
      </c>
      <c r="E19" s="16" t="n">
        <v>2600</v>
      </c>
      <c r="F19" s="16" t="n">
        <v>2810</v>
      </c>
      <c r="G19" s="16" t="n">
        <f aca="false">F19-E19</f>
        <v>210</v>
      </c>
    </row>
    <row r="20" customFormat="false" ht="15" hidden="false" customHeight="false" outlineLevel="0" collapsed="false">
      <c r="A20" s="0" t="s">
        <v>109</v>
      </c>
      <c r="B20" s="0" t="s">
        <v>88</v>
      </c>
      <c r="C20" s="0" t="s">
        <v>89</v>
      </c>
      <c r="D20" s="22" t="n">
        <v>425</v>
      </c>
      <c r="E20" s="16" t="n">
        <v>2800</v>
      </c>
      <c r="F20" s="16" t="n">
        <v>2830</v>
      </c>
      <c r="G20" s="16" t="n">
        <f aca="false">F20-E20</f>
        <v>30</v>
      </c>
    </row>
    <row r="21" customFormat="false" ht="15" hidden="false" customHeight="false" outlineLevel="0" collapsed="false">
      <c r="A21" s="0" t="s">
        <v>110</v>
      </c>
      <c r="B21" s="0" t="s">
        <v>88</v>
      </c>
      <c r="C21" s="0" t="s">
        <v>89</v>
      </c>
      <c r="D21" s="22" t="n">
        <v>425</v>
      </c>
      <c r="E21" s="16" t="n">
        <v>2600</v>
      </c>
      <c r="F21" s="16" t="n">
        <v>2810</v>
      </c>
      <c r="G21" s="16" t="n">
        <f aca="false">F21-E21</f>
        <v>210</v>
      </c>
    </row>
    <row r="22" customFormat="false" ht="15" hidden="false" customHeight="false" outlineLevel="0" collapsed="false">
      <c r="A22" s="0" t="s">
        <v>111</v>
      </c>
      <c r="B22" s="0" t="s">
        <v>88</v>
      </c>
      <c r="C22" s="0" t="s">
        <v>89</v>
      </c>
      <c r="D22" s="22" t="n">
        <v>400</v>
      </c>
      <c r="E22" s="16" t="n">
        <v>2700</v>
      </c>
      <c r="F22" s="16" t="n">
        <v>2820</v>
      </c>
      <c r="G22" s="16" t="n">
        <f aca="false">F22-E22</f>
        <v>120</v>
      </c>
    </row>
    <row r="23" customFormat="false" ht="15" hidden="false" customHeight="false" outlineLevel="0" collapsed="false">
      <c r="A23" s="0" t="s">
        <v>112</v>
      </c>
      <c r="B23" s="0" t="s">
        <v>88</v>
      </c>
      <c r="C23" s="0" t="s">
        <v>89</v>
      </c>
      <c r="D23" s="22" t="n">
        <v>405</v>
      </c>
      <c r="E23" s="16" t="n">
        <v>2700</v>
      </c>
      <c r="F23" s="16" t="n">
        <v>2820</v>
      </c>
      <c r="G23" s="16" t="n">
        <f aca="false">F23-E23</f>
        <v>120</v>
      </c>
    </row>
    <row r="24" customFormat="false" ht="15" hidden="false" customHeight="false" outlineLevel="0" collapsed="false">
      <c r="A24" s="23" t="s">
        <v>113</v>
      </c>
      <c r="D24" s="24" t="n">
        <f aca="false">SUM(D4:D23)</f>
        <v>8575</v>
      </c>
      <c r="E24" s="18" t="n">
        <f aca="false">SUM(E4:E23)</f>
        <v>45929</v>
      </c>
      <c r="F24" s="18" t="n">
        <f aca="false">SUM(F4:F23)</f>
        <v>57472</v>
      </c>
      <c r="G24" s="18" t="n">
        <f aca="false">SUM(G4:G23)</f>
        <v>11543</v>
      </c>
    </row>
    <row r="26" customFormat="false" ht="15" hidden="false" customHeight="false" outlineLevel="0" collapsed="false">
      <c r="A26" s="2" t="s">
        <v>114</v>
      </c>
    </row>
    <row r="27" customFormat="false" ht="15" hidden="false" customHeight="false" outlineLevel="0" collapsed="false">
      <c r="A27" s="0" t="s">
        <v>115</v>
      </c>
      <c r="B27" s="16" t="n">
        <f aca="false">E24/20</f>
        <v>2296.45</v>
      </c>
    </row>
    <row r="28" customFormat="false" ht="15" hidden="false" customHeight="false" outlineLevel="0" collapsed="false">
      <c r="A28" s="0" t="s">
        <v>116</v>
      </c>
      <c r="B28" s="16" t="n">
        <f aca="false">F24/20</f>
        <v>2873.6</v>
      </c>
    </row>
    <row r="29" customFormat="false" ht="15" hidden="false" customHeight="false" outlineLevel="0" collapsed="false">
      <c r="A29" s="0" t="s">
        <v>117</v>
      </c>
      <c r="B29" s="25" t="n">
        <f aca="false">E24/D24</f>
        <v>5.35615160349854</v>
      </c>
    </row>
    <row r="30" customFormat="false" ht="15" hidden="false" customHeight="false" outlineLevel="0" collapsed="false">
      <c r="A30" s="0" t="s">
        <v>118</v>
      </c>
      <c r="B30" s="25" t="n">
        <f aca="false">F24/D24</f>
        <v>6.70227405247813</v>
      </c>
    </row>
    <row r="32" customFormat="false" ht="15" hidden="false" customHeight="false" outlineLevel="0" collapsed="false">
      <c r="A32" s="0" t="s">
        <v>119</v>
      </c>
      <c r="B32" s="20" t="n">
        <f aca="false">G24*12</f>
        <v>138516</v>
      </c>
    </row>
    <row r="33" customFormat="false" ht="15" hidden="false" customHeight="false" outlineLevel="0" collapsed="false">
      <c r="A33" s="0" t="s">
        <v>120</v>
      </c>
      <c r="B33" s="26" t="n">
        <f aca="false">(F24-E24)/E24</f>
        <v>0.25132269372292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8" min="2" style="0" width="12"/>
  </cols>
  <sheetData>
    <row r="1" customFormat="false" ht="19.7" hidden="false" customHeight="false" outlineLevel="0" collapsed="false">
      <c r="A1" s="1" t="s">
        <v>121</v>
      </c>
    </row>
    <row r="3" customFormat="false" ht="15" hidden="false" customHeight="false" outlineLevel="0" collapsed="false">
      <c r="A3" s="2" t="s">
        <v>122</v>
      </c>
    </row>
    <row r="4" customFormat="false" ht="15" hidden="false" customHeight="false" outlineLevel="0" collapsed="false">
      <c r="A4" s="23" t="s">
        <v>123</v>
      </c>
    </row>
    <row r="5" customFormat="false" ht="15" hidden="false" customHeight="false" outlineLevel="0" collapsed="false">
      <c r="A5" s="27" t="s">
        <v>124</v>
      </c>
      <c r="B5" s="27" t="s">
        <v>125</v>
      </c>
      <c r="C5" s="27" t="s">
        <v>126</v>
      </c>
      <c r="D5" s="27" t="s">
        <v>127</v>
      </c>
      <c r="E5" s="27" t="s">
        <v>128</v>
      </c>
      <c r="F5" s="27" t="s">
        <v>129</v>
      </c>
    </row>
    <row r="6" customFormat="false" ht="15" hidden="false" customHeight="false" outlineLevel="0" collapsed="false">
      <c r="A6" s="0" t="s">
        <v>130</v>
      </c>
      <c r="B6" s="28" t="n">
        <v>0.055</v>
      </c>
      <c r="C6" s="16" t="n">
        <f aca="false">ProForma!G20</f>
        <v>355993.586109586</v>
      </c>
      <c r="D6" s="16" t="n">
        <f aca="false">C6/B6</f>
        <v>6472610.65653794</v>
      </c>
      <c r="E6" s="16" t="n">
        <f aca="false">D6*(1-Inputs!$B$44)</f>
        <v>6084254.01714566</v>
      </c>
    </row>
    <row r="7" customFormat="false" ht="15" hidden="false" customHeight="false" outlineLevel="0" collapsed="false">
      <c r="A7" s="0" t="s">
        <v>131</v>
      </c>
      <c r="B7" s="28" t="n">
        <v>0.05</v>
      </c>
      <c r="C7" s="16" t="n">
        <f aca="false">ProForma!G20</f>
        <v>355993.586109586</v>
      </c>
      <c r="D7" s="16" t="n">
        <f aca="false">C7/B7</f>
        <v>7119871.72219173</v>
      </c>
      <c r="E7" s="16" t="n">
        <f aca="false">D7*(1-Inputs!$B$44)</f>
        <v>6692679.41886022</v>
      </c>
    </row>
    <row r="8" customFormat="false" ht="15" hidden="false" customHeight="false" outlineLevel="0" collapsed="false">
      <c r="A8" s="0" t="s">
        <v>132</v>
      </c>
      <c r="B8" s="28" t="n">
        <v>0.06</v>
      </c>
      <c r="C8" s="16" t="n">
        <f aca="false">ProForma!G20</f>
        <v>355993.586109586</v>
      </c>
      <c r="D8" s="16" t="n">
        <f aca="false">C8/B8</f>
        <v>5933226.43515977</v>
      </c>
      <c r="E8" s="16" t="n">
        <f aca="false">D8*(1-Inputs!$B$44)</f>
        <v>5577232.84905019</v>
      </c>
    </row>
    <row r="9" customFormat="false" ht="15" hidden="false" customHeight="false" outlineLevel="0" collapsed="false">
      <c r="A9" s="0" t="s">
        <v>133</v>
      </c>
      <c r="B9" s="28" t="n">
        <v>0.065</v>
      </c>
      <c r="C9" s="16" t="n">
        <f aca="false">ProForma!G20</f>
        <v>355993.586109586</v>
      </c>
      <c r="D9" s="16" t="n">
        <f aca="false">C9/B9</f>
        <v>5476824.40168595</v>
      </c>
      <c r="E9" s="16" t="n">
        <f aca="false">D9*(1-Inputs!$B$44)</f>
        <v>5148214.93758479</v>
      </c>
    </row>
    <row r="12" customFormat="false" ht="15" hidden="false" customHeight="false" outlineLevel="0" collapsed="false">
      <c r="A12" s="2" t="s">
        <v>134</v>
      </c>
    </row>
    <row r="13" customFormat="false" ht="15" hidden="false" customHeight="false" outlineLevel="0" collapsed="false">
      <c r="A13" s="23" t="s">
        <v>135</v>
      </c>
    </row>
    <row r="14" customFormat="false" ht="15" hidden="false" customHeight="false" outlineLevel="0" collapsed="false">
      <c r="A14" s="27" t="s">
        <v>124</v>
      </c>
      <c r="B14" s="27" t="s">
        <v>136</v>
      </c>
      <c r="C14" s="27" t="s">
        <v>137</v>
      </c>
      <c r="D14" s="27" t="s">
        <v>138</v>
      </c>
      <c r="E14" s="27" t="s">
        <v>139</v>
      </c>
    </row>
    <row r="15" customFormat="false" ht="15" hidden="false" customHeight="false" outlineLevel="0" collapsed="false">
      <c r="A15" s="0" t="s">
        <v>22</v>
      </c>
      <c r="B15" s="16" t="n">
        <v>8200000</v>
      </c>
      <c r="C15" s="29" t="n">
        <f aca="false">Inputs!$B$25/B15</f>
        <v>0.0407621902439024</v>
      </c>
      <c r="D15" s="16" t="n">
        <f aca="false">B15/Inputs!$B$8</f>
        <v>410000</v>
      </c>
      <c r="E15" s="16" t="n">
        <f aca="false">B15/Inputs!$B$9</f>
        <v>1009.85221674877</v>
      </c>
    </row>
    <row r="16" customFormat="false" ht="15" hidden="false" customHeight="false" outlineLevel="0" collapsed="false">
      <c r="A16" s="0" t="s">
        <v>140</v>
      </c>
      <c r="B16" s="16" t="n">
        <v>7790000</v>
      </c>
      <c r="C16" s="29" t="n">
        <f aca="false">Inputs!$B$25/B16</f>
        <v>0.042907568677792</v>
      </c>
      <c r="D16" s="16" t="n">
        <f aca="false">B16/Inputs!$B$8</f>
        <v>389500</v>
      </c>
      <c r="E16" s="16" t="n">
        <f aca="false">B16/Inputs!$B$9</f>
        <v>959.35960591133</v>
      </c>
    </row>
    <row r="17" customFormat="false" ht="15" hidden="false" customHeight="false" outlineLevel="0" collapsed="false">
      <c r="A17" s="0" t="s">
        <v>141</v>
      </c>
      <c r="B17" s="16" t="n">
        <v>7380000</v>
      </c>
      <c r="C17" s="29" t="n">
        <f aca="false">Inputs!$B$25/B17</f>
        <v>0.0452913224932249</v>
      </c>
      <c r="D17" s="16" t="n">
        <f aca="false">B17/Inputs!$B$8</f>
        <v>369000</v>
      </c>
      <c r="E17" s="16" t="n">
        <f aca="false">B17/Inputs!$B$9</f>
        <v>908.866995073892</v>
      </c>
    </row>
    <row r="18" customFormat="false" ht="15" hidden="false" customHeight="false" outlineLevel="0" collapsed="false">
      <c r="A18" s="0" t="s">
        <v>142</v>
      </c>
      <c r="B18" s="16" t="n">
        <v>8200000</v>
      </c>
      <c r="C18" s="29" t="n">
        <f aca="false">Inputs!$B$25/B18</f>
        <v>0.0407621902439024</v>
      </c>
      <c r="D18" s="16" t="n">
        <f aca="false">B18/Inputs!$B$8</f>
        <v>410000</v>
      </c>
      <c r="E18" s="16" t="n">
        <f aca="false">B18/Inputs!$B$9</f>
        <v>1009.85221674877</v>
      </c>
    </row>
    <row r="21" customFormat="false" ht="15" hidden="false" customHeight="false" outlineLevel="0" collapsed="false">
      <c r="A21" s="2" t="s">
        <v>143</v>
      </c>
    </row>
    <row r="22" customFormat="false" ht="15" hidden="false" customHeight="false" outlineLevel="0" collapsed="false">
      <c r="A22" s="30" t="s">
        <v>144</v>
      </c>
      <c r="B22" s="30" t="s">
        <v>145</v>
      </c>
    </row>
    <row r="23" customFormat="false" ht="15" hidden="false" customHeight="false" outlineLevel="0" collapsed="false">
      <c r="A23" s="0" t="s">
        <v>146</v>
      </c>
      <c r="B23" s="28" t="n">
        <f aca="false">ProForma!C24/ProForma!B30</f>
        <v>-1.59281079871494</v>
      </c>
    </row>
    <row r="24" customFormat="false" ht="15" hidden="false" customHeight="false" outlineLevel="0" collapsed="false">
      <c r="A24" s="0" t="s">
        <v>147</v>
      </c>
      <c r="B24" s="31" t="n">
        <f aca="false">ProForma!C20/Inputs!B39</f>
        <v>0.0635443849889695</v>
      </c>
    </row>
    <row r="25" customFormat="false" ht="15" hidden="false" customHeight="false" outlineLevel="0" collapsed="false">
      <c r="A25" s="0" t="s">
        <v>148</v>
      </c>
      <c r="B25" s="29" t="n">
        <f aca="false">Inputs!B26/Inputs!B13</f>
        <v>0.0573143902439024</v>
      </c>
    </row>
    <row r="26" customFormat="false" ht="15" hidden="false" customHeight="false" outlineLevel="0" collapsed="false">
      <c r="A26" s="0" t="s">
        <v>149</v>
      </c>
      <c r="B26" s="16" t="n">
        <f aca="false">Inputs!B13/Inputs!B8</f>
        <v>410000</v>
      </c>
    </row>
    <row r="27" customFormat="false" ht="15" hidden="false" customHeight="false" outlineLevel="0" collapsed="false">
      <c r="A27" s="0" t="s">
        <v>150</v>
      </c>
      <c r="B27" s="16" t="n">
        <f aca="false">Inputs!B13/Inputs!B9</f>
        <v>1009.85221674877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2025-11-03T00:31:19Z</dcterms:created>
  <dc:creator>openpyxl</dc:creator>
  <dc:description/>
  <dc:language>en-US</dc:language>
  <cp:lastModifiedBy/>
  <dcterms:modified xsi:type="dcterms:W3CDTF">2025-11-03T00:32:08Z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