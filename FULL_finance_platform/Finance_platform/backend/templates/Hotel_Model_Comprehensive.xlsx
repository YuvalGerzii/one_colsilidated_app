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 Forma" sheetId="3" state="visible" r:id="rId3"/>
    <sheet xmlns:r="http://schemas.openxmlformats.org/officeDocument/2006/relationships" name="Cash Flow Analysis" sheetId="4" state="visible" r:id="rId4"/>
    <sheet xmlns:r="http://schemas.openxmlformats.org/officeDocument/2006/relationships" name="Returns Analysis" sheetId="5" state="visible" r:id="rId5"/>
    <sheet xmlns:r="http://schemas.openxmlformats.org/officeDocument/2006/relationships" name="Segment Benchmar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0.0%"/>
    <numFmt numFmtId="166" formatCode="$#,##0,, mm"/>
    <numFmt numFmtId="167" formatCode="0.00x"/>
    <numFmt numFmtId="168" formatCode="mm/dd/yyyy"/>
    <numFmt numFmtId="169" formatCode="$#,##0.0 mm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8000"/>
    </font>
    <font>
      <color rgb="00000000"/>
    </font>
    <font>
      <b val="1"/>
      <color rgb="00FFFFFF"/>
      <sz val="14"/>
    </font>
    <font>
      <color rgb="000000FF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7" fontId="3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168" fontId="6" fillId="3" borderId="0" pivotButton="0" quotePrefix="0" xfId="0"/>
    <xf numFmtId="3" fontId="6" fillId="3" borderId="0" pivotButton="0" quotePrefix="0" xfId="0"/>
    <xf numFmtId="0" fontId="7" fillId="2" borderId="0" pivotButton="0" quotePrefix="0" xfId="0"/>
    <xf numFmtId="164" fontId="6" fillId="3" borderId="0" pivotButton="0" quotePrefix="0" xfId="0"/>
    <xf numFmtId="165" fontId="6" fillId="3" borderId="0" pivotButton="0" quotePrefix="0" xfId="0"/>
    <xf numFmtId="10" fontId="6" fillId="3" borderId="0" pivotButton="0" quotePrefix="0" xfId="0"/>
    <xf numFmtId="166" fontId="6" fillId="3" borderId="0" pivotButton="0" quotePrefix="0" xfId="0"/>
    <xf numFmtId="166" fontId="4" fillId="0" borderId="0" pivotButton="0" quotePrefix="0" xfId="0"/>
    <xf numFmtId="168" fontId="6" fillId="3" borderId="0" pivotButton="0" quotePrefix="0" xfId="0"/>
    <xf numFmtId="3" fontId="4" fillId="0" borderId="0" pivotButton="0" quotePrefix="0" xfId="0"/>
    <xf numFmtId="164" fontId="4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169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HOTEL FINANCIAL MODEL - EXECUTIVE SUMMARY</t>
        </is>
      </c>
    </row>
    <row r="3">
      <c r="A3" s="2" t="inlineStr">
        <is>
          <t>Property Overview</t>
        </is>
      </c>
    </row>
    <row r="4">
      <c r="A4" t="inlineStr">
        <is>
          <t>Property Name:</t>
        </is>
      </c>
      <c r="B4" s="3">
        <f>Inputs!B4</f>
        <v/>
      </c>
    </row>
    <row r="5">
      <c r="A5" t="inlineStr">
        <is>
          <t>Hotel Type:</t>
        </is>
      </c>
      <c r="B5" s="3">
        <f>Inputs!B5</f>
        <v/>
      </c>
    </row>
    <row r="6">
      <c r="A6" t="inlineStr">
        <is>
          <t>Number of Rooms:</t>
        </is>
      </c>
      <c r="B6" s="4">
        <f>Inputs!B8</f>
        <v/>
      </c>
    </row>
    <row r="7">
      <c r="A7" t="inlineStr">
        <is>
          <t>Location:</t>
        </is>
      </c>
      <c r="B7" s="3">
        <f>Inputs!B6</f>
        <v/>
      </c>
    </row>
    <row r="8">
      <c r="A8" t="inlineStr">
        <is>
          <t>Brand Affiliation:</t>
        </is>
      </c>
      <c r="B8" s="3">
        <f>Inputs!B20</f>
        <v/>
      </c>
    </row>
    <row r="10">
      <c r="A10" s="2" t="inlineStr">
        <is>
          <t>Key Performance Metrics - Year 1</t>
        </is>
      </c>
    </row>
    <row r="11">
      <c r="A11" t="inlineStr">
        <is>
          <t>Average Daily Rate (ADR):</t>
        </is>
      </c>
      <c r="B11" s="5">
        <f>'Pro Forma'!C21</f>
        <v/>
      </c>
    </row>
    <row r="12">
      <c r="A12" t="inlineStr">
        <is>
          <t>Occupancy Rate:</t>
        </is>
      </c>
      <c r="B12" s="6">
        <f>'Pro Forma'!C22</f>
        <v/>
      </c>
    </row>
    <row r="13">
      <c r="A13" t="inlineStr">
        <is>
          <t>RevPAR:</t>
        </is>
      </c>
      <c r="B13" s="5">
        <f>'Pro Forma'!C23</f>
        <v/>
      </c>
    </row>
    <row r="14">
      <c r="A14" t="inlineStr">
        <is>
          <t>Total Revenue:</t>
        </is>
      </c>
      <c r="B14" s="7">
        <f>'Pro Forma'!C42</f>
        <v/>
      </c>
    </row>
    <row r="15">
      <c r="A15" t="inlineStr">
        <is>
          <t>Total Operating Expenses:</t>
        </is>
      </c>
      <c r="B15" s="7">
        <f>'Pro Forma'!C71</f>
        <v/>
      </c>
    </row>
    <row r="16">
      <c r="A16" t="inlineStr">
        <is>
          <t>Gross Operating Profit (GOP):</t>
        </is>
      </c>
      <c r="B16" s="7">
        <f>'Pro Forma'!C73</f>
        <v/>
      </c>
    </row>
    <row r="17">
      <c r="A17" t="inlineStr">
        <is>
          <t>GOP Margin:</t>
        </is>
      </c>
      <c r="B17" s="6">
        <f>'Pro Forma'!C74</f>
        <v/>
      </c>
    </row>
    <row r="19">
      <c r="A19" s="2" t="inlineStr">
        <is>
          <t>Investment Returns</t>
        </is>
      </c>
    </row>
    <row r="20">
      <c r="A20" t="inlineStr">
        <is>
          <t>Total Development Cost:</t>
        </is>
      </c>
      <c r="B20" s="7">
        <f>Inputs!B60</f>
        <v/>
      </c>
    </row>
    <row r="21">
      <c r="A21" t="inlineStr">
        <is>
          <t>Stabilized NOI (Year 2):</t>
        </is>
      </c>
      <c r="B21" s="7">
        <f>'Pro Forma'!D76</f>
        <v/>
      </c>
    </row>
    <row r="22">
      <c r="A22" t="inlineStr">
        <is>
          <t>Stabilized Yield on Cost:</t>
        </is>
      </c>
      <c r="B22" s="8">
        <f>B21/B20</f>
        <v/>
      </c>
    </row>
    <row r="23">
      <c r="A23" t="inlineStr">
        <is>
          <t>Estimated Exit Value (Year 10):</t>
        </is>
      </c>
      <c r="B23" s="7">
        <f>'Returns Analysis'!B15</f>
        <v/>
      </c>
    </row>
    <row r="24">
      <c r="A24" t="inlineStr">
        <is>
          <t>Levered IRR:</t>
        </is>
      </c>
      <c r="B24" s="6">
        <f>'Returns Analysis'!B20</f>
        <v/>
      </c>
    </row>
    <row r="25">
      <c r="A25" t="inlineStr">
        <is>
          <t>Equity Multiple:</t>
        </is>
      </c>
      <c r="B25" s="9">
        <f>'Returns Analysis'!B21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0" t="inlineStr">
        <is>
          <t>HOTEL FINANCIAL MODEL - INPUTS</t>
        </is>
      </c>
    </row>
    <row r="2">
      <c r="A2" s="11" t="inlineStr">
        <is>
          <t>BLUE cells = USER INPUTS</t>
        </is>
      </c>
    </row>
    <row r="4">
      <c r="A4" s="2" t="inlineStr">
        <is>
          <t>Property Name:</t>
        </is>
      </c>
      <c r="B4" s="11" t="inlineStr">
        <is>
          <t>Flagship Hotel &amp; Resort</t>
        </is>
      </c>
    </row>
    <row r="5">
      <c r="A5" t="inlineStr">
        <is>
          <t>Hotel Type:</t>
        </is>
      </c>
      <c r="B5" s="11" t="inlineStr">
        <is>
          <t>Upper Upscale</t>
        </is>
      </c>
    </row>
    <row r="6">
      <c r="A6" t="inlineStr">
        <is>
          <t>Location:</t>
        </is>
      </c>
      <c r="B6" s="11" t="inlineStr">
        <is>
          <t>Downtown Metropolitan</t>
        </is>
      </c>
    </row>
    <row r="7">
      <c r="A7" t="inlineStr">
        <is>
          <t>Opening Date:</t>
        </is>
      </c>
      <c r="B7" s="20" t="n">
        <v>46023</v>
      </c>
    </row>
    <row r="8">
      <c r="A8" t="inlineStr">
        <is>
          <t>Number of Rooms:</t>
        </is>
      </c>
      <c r="B8" s="13" t="n">
        <v>300</v>
      </c>
    </row>
    <row r="9">
      <c r="A9" t="inlineStr">
        <is>
          <t>Average Room Size (SF):</t>
        </is>
      </c>
      <c r="B9" s="13" t="n">
        <v>450</v>
      </c>
    </row>
    <row r="11">
      <c r="A11" s="14" t="inlineStr">
        <is>
          <t>REVENUE ASSUMPTIONS</t>
        </is>
      </c>
    </row>
    <row r="13">
      <c r="A13" s="2" t="inlineStr">
        <is>
          <t>Rooms Revenue</t>
        </is>
      </c>
    </row>
    <row r="14">
      <c r="A14" t="inlineStr">
        <is>
          <t>Year 1 Average Daily Rate (ADR):</t>
        </is>
      </c>
      <c r="B14" s="15" t="n">
        <v>225</v>
      </c>
    </row>
    <row r="15">
      <c r="A15" t="inlineStr">
        <is>
          <t>Stabilized Occupancy Rate:</t>
        </is>
      </c>
      <c r="B15" s="16" t="n">
        <v>0.7</v>
      </c>
    </row>
    <row r="16">
      <c r="A16" t="inlineStr">
        <is>
          <t>Ramp-Up Period (months):</t>
        </is>
      </c>
      <c r="B16" s="13" t="n">
        <v>18</v>
      </c>
    </row>
    <row r="17">
      <c r="A17" t="inlineStr">
        <is>
          <t>ADR Growth Rate (annual):</t>
        </is>
      </c>
      <c r="B17" s="16" t="n">
        <v>0.025</v>
      </c>
    </row>
    <row r="19">
      <c r="A19" s="2" t="inlineStr">
        <is>
          <t>Brand/Franchise Structure</t>
        </is>
      </c>
    </row>
    <row r="20">
      <c r="A20" t="inlineStr">
        <is>
          <t>Brand Affiliation:</t>
        </is>
      </c>
      <c r="B20" s="11" t="inlineStr">
        <is>
          <t>Marriott Hotels</t>
        </is>
      </c>
    </row>
    <row r="21">
      <c r="A21" t="inlineStr">
        <is>
          <t>Operating Structure:</t>
        </is>
      </c>
      <c r="B21" s="11" t="inlineStr">
        <is>
          <t>Franchise (Owner-Operated)</t>
        </is>
      </c>
    </row>
    <row r="22">
      <c r="A22" t="inlineStr">
        <is>
          <t>Initial Franchise Fee:</t>
        </is>
      </c>
      <c r="B22" s="15" t="n">
        <v>75000</v>
      </c>
    </row>
    <row r="23">
      <c r="A23" t="inlineStr">
        <is>
          <t>Royalty Fee (% of rooms revenue):</t>
        </is>
      </c>
      <c r="B23" s="16" t="n">
        <v>0.05</v>
      </c>
    </row>
    <row r="24">
      <c r="A24" t="inlineStr">
        <is>
          <t>Marketing/Reservation Fee (% of rooms revenue):</t>
        </is>
      </c>
      <c r="B24" s="16" t="n">
        <v>0.04</v>
      </c>
    </row>
    <row r="25">
      <c r="A25" t="inlineStr">
        <is>
          <t>Technology/Distribution Fee (% of rooms revenue):</t>
        </is>
      </c>
      <c r="B25" s="16" t="n">
        <v>0.01</v>
      </c>
    </row>
    <row r="27">
      <c r="A27" s="2" t="inlineStr">
        <is>
          <t>Food &amp; Beverage Revenue</t>
        </is>
      </c>
    </row>
    <row r="28">
      <c r="A28" t="inlineStr">
        <is>
          <t>Restaurant/Outlet Revenue per Room per Day:</t>
        </is>
      </c>
      <c r="B28" s="15" t="n">
        <v>35</v>
      </c>
    </row>
    <row r="29">
      <c r="A29" t="inlineStr">
        <is>
          <t>Banquet/Catering Revenue per Group Room Night:</t>
        </is>
      </c>
      <c r="B29" s="15" t="n">
        <v>95</v>
      </c>
    </row>
    <row r="30">
      <c r="A30" t="inlineStr">
        <is>
          <t>Group Business % of Total Rooms:</t>
        </is>
      </c>
      <c r="B30" s="16" t="n">
        <v>0.35</v>
      </c>
    </row>
    <row r="31">
      <c r="A31" t="inlineStr">
        <is>
          <t>F&amp;B Revenue Growth Rate:</t>
        </is>
      </c>
      <c r="B31" s="16" t="n">
        <v>0.03</v>
      </c>
    </row>
    <row r="33">
      <c r="A33" s="2" t="inlineStr">
        <is>
          <t>Other Operated Departments</t>
        </is>
      </c>
    </row>
    <row r="34">
      <c r="A34" t="inlineStr">
        <is>
          <t>Meeting Room Rental Revenue per Room per Year:</t>
        </is>
      </c>
      <c r="B34" s="15" t="n">
        <v>1800</v>
      </c>
    </row>
    <row r="35">
      <c r="A35" t="inlineStr">
        <is>
          <t>Parking Revenue per Room per Year:</t>
        </is>
      </c>
      <c r="B35" s="15" t="n">
        <v>900</v>
      </c>
    </row>
    <row r="36">
      <c r="A36" t="inlineStr">
        <is>
          <t>Spa/Fitness Revenue per Room per Year:</t>
        </is>
      </c>
      <c r="B36" s="15" t="n">
        <v>400</v>
      </c>
    </row>
    <row r="37">
      <c r="A37" t="inlineStr">
        <is>
          <t>Other Revenue per Room per Year:</t>
        </is>
      </c>
      <c r="B37" s="15" t="n">
        <v>600</v>
      </c>
    </row>
    <row r="39">
      <c r="A39" s="14" t="inlineStr">
        <is>
          <t>OPERATING EXPENSES</t>
        </is>
      </c>
    </row>
    <row r="41">
      <c r="A41" t="inlineStr">
        <is>
          <t>Rooms Department Expenses (% of rooms revenue):</t>
        </is>
      </c>
      <c r="B41" s="16" t="n">
        <v>0.25</v>
      </c>
    </row>
    <row r="42">
      <c r="A42" t="inlineStr">
        <is>
          <t>F&amp;B Department Expenses (% of F&amp;B revenue):</t>
        </is>
      </c>
      <c r="B42" s="16" t="n">
        <v>0.68</v>
      </c>
    </row>
    <row r="43">
      <c r="A43" t="inlineStr">
        <is>
          <t>Other Dept Expenses (% of other operated revenue):</t>
        </is>
      </c>
      <c r="B43" s="16" t="n">
        <v>0.35</v>
      </c>
    </row>
    <row r="45">
      <c r="A45" t="inlineStr">
        <is>
          <t>Undistributed Expenses (per room per year):</t>
        </is>
      </c>
      <c r="B45" s="15" t="n">
        <v>8500</v>
      </c>
    </row>
    <row r="46">
      <c r="A46" t="inlineStr">
        <is>
          <t>Property Operations &amp; Maintenance (per room/year):</t>
        </is>
      </c>
      <c r="B46" s="15" t="n">
        <v>3200</v>
      </c>
    </row>
    <row r="47">
      <c r="A47" t="inlineStr">
        <is>
          <t>Utilities (per room per year):</t>
        </is>
      </c>
      <c r="B47" s="15" t="n">
        <v>2800</v>
      </c>
    </row>
    <row r="48">
      <c r="A48" t="inlineStr">
        <is>
          <t>Insurance (% of total revenue):</t>
        </is>
      </c>
      <c r="B48" s="17" t="n">
        <v>0.015</v>
      </c>
    </row>
    <row r="49">
      <c r="A49" t="inlineStr">
        <is>
          <t>Property Tax (% of total revenue):</t>
        </is>
      </c>
      <c r="B49" s="16" t="n">
        <v>0.035</v>
      </c>
    </row>
    <row r="50">
      <c r="A50" t="inlineStr">
        <is>
          <t>Expense Growth Rate:</t>
        </is>
      </c>
      <c r="B50" s="16" t="n">
        <v>0.03</v>
      </c>
    </row>
    <row r="52">
      <c r="A52" s="14" t="inlineStr">
        <is>
          <t>DEVELOPMENT COSTS</t>
        </is>
      </c>
    </row>
    <row r="54">
      <c r="A54" t="inlineStr">
        <is>
          <t>Land Cost:</t>
        </is>
      </c>
      <c r="B54" s="26" t="n">
        <v>15</v>
      </c>
    </row>
    <row r="55">
      <c r="A55" t="inlineStr">
        <is>
          <t>Hard Costs per Room:</t>
        </is>
      </c>
      <c r="B55" s="15" t="n">
        <v>350000</v>
      </c>
    </row>
    <row r="56">
      <c r="A56" t="inlineStr">
        <is>
          <t>Soft Costs (% of hard costs):</t>
        </is>
      </c>
      <c r="B56" s="16" t="n">
        <v>0.2</v>
      </c>
    </row>
    <row r="57">
      <c r="A57" t="inlineStr">
        <is>
          <t>FF&amp;E per Room:</t>
        </is>
      </c>
      <c r="B57" s="15" t="n">
        <v>25000</v>
      </c>
    </row>
    <row r="58">
      <c r="A58" t="inlineStr">
        <is>
          <t>Pre-Opening Expenses per Room:</t>
        </is>
      </c>
      <c r="B58" s="15" t="n">
        <v>8000</v>
      </c>
    </row>
    <row r="59">
      <c r="A59" t="inlineStr">
        <is>
          <t>Contingency (%):</t>
        </is>
      </c>
      <c r="B59" s="16" t="n">
        <v>0.05</v>
      </c>
    </row>
    <row r="60">
      <c r="A60" t="inlineStr">
        <is>
          <t>Total Development Cost:</t>
        </is>
      </c>
      <c r="B60" s="19">
        <f>B54+B8*B55*(1+B56)+B8*B57+B8*B58+(B54+B8*B55*(1+B56)+B8*B57+B8*B58)*B59+B22</f>
        <v/>
      </c>
    </row>
    <row r="62">
      <c r="A62" s="14" t="inlineStr">
        <is>
          <t>FINANCING</t>
        </is>
      </c>
    </row>
    <row r="64">
      <c r="A64" t="inlineStr">
        <is>
          <t>Loan-to-Cost (LTC):</t>
        </is>
      </c>
      <c r="B64" s="16" t="n">
        <v>0.65</v>
      </c>
    </row>
    <row r="65">
      <c r="A65" t="inlineStr">
        <is>
          <t>Interest Rate:</t>
        </is>
      </c>
      <c r="B65" s="17" t="n">
        <v>0.065</v>
      </c>
    </row>
    <row r="66">
      <c r="A66" t="inlineStr">
        <is>
          <t>Loan Term (years):</t>
        </is>
      </c>
      <c r="B66" s="13" t="n">
        <v>30</v>
      </c>
    </row>
    <row r="67">
      <c r="A67" t="inlineStr">
        <is>
          <t>Amortization (years):</t>
        </is>
      </c>
      <c r="B67" s="13" t="n">
        <v>30</v>
      </c>
    </row>
    <row r="69">
      <c r="A69" s="14" t="inlineStr">
        <is>
          <t>EXIT ASSUMPTIONS</t>
        </is>
      </c>
    </row>
    <row r="71">
      <c r="A71" t="inlineStr">
        <is>
          <t>Hold Period (years):</t>
        </is>
      </c>
      <c r="B71" s="13" t="n">
        <v>10</v>
      </c>
    </row>
    <row r="72">
      <c r="A72" t="inlineStr">
        <is>
          <t>Exit Cap Rate:</t>
        </is>
      </c>
      <c r="B72" s="16" t="n">
        <v>0.07000000000000001</v>
      </c>
    </row>
    <row r="73">
      <c r="A73" t="inlineStr">
        <is>
          <t>Selling Costs (%):</t>
        </is>
      </c>
      <c r="B73" s="16" t="n">
        <v>0.025</v>
      </c>
    </row>
  </sheetData>
  <mergeCells count="6">
    <mergeCell ref="A62:B62"/>
    <mergeCell ref="A52:B52"/>
    <mergeCell ref="A11:B11"/>
    <mergeCell ref="A1:B1"/>
    <mergeCell ref="A39:B39"/>
    <mergeCell ref="A69:B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0" t="inlineStr">
        <is>
          <t>HOTEL PRO FORMA - 10-YEAR PROJECTION</t>
        </is>
      </c>
    </row>
    <row r="3">
      <c r="A3" t="inlineStr">
        <is>
          <t>Property:</t>
        </is>
      </c>
      <c r="B3" s="3">
        <f>Inputs!B4</f>
        <v/>
      </c>
    </row>
    <row r="4">
      <c r="A4" t="inlineStr">
        <is>
          <t>Rooms:</t>
        </is>
      </c>
      <c r="B4" s="4">
        <f>Inputs!B8</f>
        <v/>
      </c>
    </row>
    <row r="6">
      <c r="A6" s="14" t="inlineStr">
        <is>
          <t>Period</t>
        </is>
      </c>
      <c r="C6" s="14" t="inlineStr">
        <is>
          <t>Year 1</t>
        </is>
      </c>
      <c r="D6" s="14" t="inlineStr">
        <is>
          <t>Year 2</t>
        </is>
      </c>
      <c r="E6" s="14" t="inlineStr">
        <is>
          <t>Year 3</t>
        </is>
      </c>
      <c r="F6" s="14" t="inlineStr">
        <is>
          <t>Year 4</t>
        </is>
      </c>
      <c r="G6" s="14" t="inlineStr">
        <is>
          <t>Year 5</t>
        </is>
      </c>
      <c r="H6" s="14" t="inlineStr">
        <is>
          <t>Year 6</t>
        </is>
      </c>
      <c r="I6" s="14" t="inlineStr">
        <is>
          <t>Year 7</t>
        </is>
      </c>
      <c r="J6" s="14" t="inlineStr">
        <is>
          <t>Year 8</t>
        </is>
      </c>
      <c r="K6" s="14" t="inlineStr">
        <is>
          <t>Year 9</t>
        </is>
      </c>
      <c r="L6" s="14" t="inlineStr">
        <is>
          <t>Year 10</t>
        </is>
      </c>
    </row>
    <row r="8">
      <c r="A8" s="2" t="inlineStr">
        <is>
          <t>OPERATING STATISTICS</t>
        </is>
      </c>
    </row>
    <row r="10">
      <c r="A10" t="inlineStr">
        <is>
          <t>Available Rooms:</t>
        </is>
      </c>
      <c r="B10" s="4">
        <f>Inputs!B8</f>
        <v/>
      </c>
      <c r="C10" s="4">
        <f>B10</f>
        <v/>
      </c>
      <c r="D10" s="4">
        <f>B10</f>
        <v/>
      </c>
      <c r="E10" s="4">
        <f>B10</f>
        <v/>
      </c>
      <c r="F10" s="4">
        <f>B10</f>
        <v/>
      </c>
      <c r="G10" s="4">
        <f>B10</f>
        <v/>
      </c>
      <c r="H10" s="4">
        <f>B10</f>
        <v/>
      </c>
      <c r="I10" s="4">
        <f>B10</f>
        <v/>
      </c>
      <c r="J10" s="4">
        <f>B10</f>
        <v/>
      </c>
      <c r="K10" s="4">
        <f>B10</f>
        <v/>
      </c>
      <c r="L10" s="4">
        <f>B10</f>
        <v/>
      </c>
    </row>
    <row r="11">
      <c r="A11" t="inlineStr">
        <is>
          <t>Available Room Nights:</t>
        </is>
      </c>
      <c r="B11" s="21">
        <f>B10*365</f>
        <v/>
      </c>
      <c r="C11" s="21">
        <f>B11</f>
        <v/>
      </c>
      <c r="D11" s="21">
        <f>C11</f>
        <v/>
      </c>
      <c r="E11" s="21">
        <f>D11</f>
        <v/>
      </c>
      <c r="F11" s="21">
        <f>E11</f>
        <v/>
      </c>
      <c r="G11" s="21">
        <f>F11</f>
        <v/>
      </c>
      <c r="H11" s="21">
        <f>G11</f>
        <v/>
      </c>
      <c r="I11" s="21">
        <f>H11</f>
        <v/>
      </c>
      <c r="J11" s="21">
        <f>I11</f>
        <v/>
      </c>
      <c r="K11" s="21">
        <f>J11</f>
        <v/>
      </c>
      <c r="L11" s="21">
        <f>K11</f>
        <v/>
      </c>
    </row>
    <row r="12">
      <c r="A12" t="inlineStr">
        <is>
          <t>Occupancy Rate (%):</t>
        </is>
      </c>
      <c r="B12" s="8">
        <f>Inputs!B15*12/(12+Inputs!B16/12)</f>
        <v/>
      </c>
      <c r="C12" s="6">
        <f>Inputs!B15</f>
        <v/>
      </c>
      <c r="D12" s="6">
        <f>Inputs!B15</f>
        <v/>
      </c>
      <c r="E12" s="6">
        <f>Inputs!B15</f>
        <v/>
      </c>
      <c r="F12" s="6">
        <f>Inputs!B15</f>
        <v/>
      </c>
      <c r="G12" s="6">
        <f>Inputs!B15</f>
        <v/>
      </c>
      <c r="H12" s="6">
        <f>Inputs!B15</f>
        <v/>
      </c>
      <c r="I12" s="6">
        <f>Inputs!B15</f>
        <v/>
      </c>
      <c r="J12" s="6">
        <f>Inputs!B15</f>
        <v/>
      </c>
      <c r="K12" s="6">
        <f>Inputs!B15</f>
        <v/>
      </c>
      <c r="L12" s="6">
        <f>Inputs!B15</f>
        <v/>
      </c>
    </row>
    <row r="13">
      <c r="A13" t="inlineStr">
        <is>
          <t>Occupied Room Nights:</t>
        </is>
      </c>
      <c r="B13" s="21">
        <f>B11*B12</f>
        <v/>
      </c>
      <c r="C13" s="21">
        <f>C11*C12</f>
        <v/>
      </c>
      <c r="D13" s="21">
        <f>D11*D12</f>
        <v/>
      </c>
      <c r="E13" s="21">
        <f>E11*E12</f>
        <v/>
      </c>
      <c r="F13" s="21">
        <f>F11*F12</f>
        <v/>
      </c>
      <c r="G13" s="21">
        <f>G11*G12</f>
        <v/>
      </c>
      <c r="H13" s="21">
        <f>H11*H12</f>
        <v/>
      </c>
      <c r="I13" s="21">
        <f>I11*I12</f>
        <v/>
      </c>
      <c r="J13" s="21">
        <f>J11*J12</f>
        <v/>
      </c>
      <c r="K13" s="21">
        <f>K11*K12</f>
        <v/>
      </c>
      <c r="L13" s="21">
        <f>L11*L12</f>
        <v/>
      </c>
    </row>
    <row r="14">
      <c r="A14" t="inlineStr">
        <is>
          <t>Group Room Nights (%):</t>
        </is>
      </c>
      <c r="B14" s="6">
        <f>Inputs!B30</f>
        <v/>
      </c>
      <c r="C14" s="6">
        <f>Inputs!B30</f>
        <v/>
      </c>
      <c r="D14" s="6">
        <f>Inputs!B30</f>
        <v/>
      </c>
      <c r="E14" s="6">
        <f>Inputs!B30</f>
        <v/>
      </c>
      <c r="F14" s="6">
        <f>Inputs!B30</f>
        <v/>
      </c>
      <c r="G14" s="6">
        <f>Inputs!B30</f>
        <v/>
      </c>
      <c r="H14" s="6">
        <f>Inputs!B30</f>
        <v/>
      </c>
      <c r="I14" s="6">
        <f>Inputs!B30</f>
        <v/>
      </c>
      <c r="J14" s="6">
        <f>Inputs!B30</f>
        <v/>
      </c>
      <c r="K14" s="6">
        <f>Inputs!B30</f>
        <v/>
      </c>
      <c r="L14" s="6">
        <f>Inputs!B30</f>
        <v/>
      </c>
    </row>
    <row r="15">
      <c r="A15" t="inlineStr">
        <is>
          <t>Group Room Nights:</t>
        </is>
      </c>
      <c r="B15" s="21">
        <f>B13*B14</f>
        <v/>
      </c>
      <c r="C15" s="21">
        <f>C13*C14</f>
        <v/>
      </c>
      <c r="D15" s="21">
        <f>D13*D14</f>
        <v/>
      </c>
      <c r="E15" s="21">
        <f>E13*E14</f>
        <v/>
      </c>
      <c r="F15" s="21">
        <f>F13*F14</f>
        <v/>
      </c>
      <c r="G15" s="21">
        <f>G13*G14</f>
        <v/>
      </c>
      <c r="H15" s="21">
        <f>H13*H14</f>
        <v/>
      </c>
      <c r="I15" s="21">
        <f>I13*I14</f>
        <v/>
      </c>
      <c r="J15" s="21">
        <f>J13*J14</f>
        <v/>
      </c>
      <c r="K15" s="21">
        <f>K13*K14</f>
        <v/>
      </c>
      <c r="L15" s="21">
        <f>L13*L14</f>
        <v/>
      </c>
    </row>
    <row r="17">
      <c r="A17" s="2" t="inlineStr">
        <is>
          <t>REVENUE ($000s)</t>
        </is>
      </c>
    </row>
    <row r="19">
      <c r="A19" s="2" t="inlineStr">
        <is>
          <t>Rooms Revenue</t>
        </is>
      </c>
    </row>
    <row r="20">
      <c r="A20" t="inlineStr">
        <is>
          <t>ADR ($):</t>
        </is>
      </c>
      <c r="B20" s="5">
        <f>Inputs!B14</f>
        <v/>
      </c>
      <c r="C20" s="22">
        <f>B20*(1+Inputs!B17)</f>
        <v/>
      </c>
      <c r="D20" s="22">
        <f>C20*(1+Inputs!B17)</f>
        <v/>
      </c>
      <c r="E20" s="22">
        <f>D20*(1+Inputs!B17)</f>
        <v/>
      </c>
      <c r="F20" s="22">
        <f>E20*(1+Inputs!B17)</f>
        <v/>
      </c>
      <c r="G20" s="22">
        <f>F20*(1+Inputs!B17)</f>
        <v/>
      </c>
      <c r="H20" s="22">
        <f>G20*(1+Inputs!B17)</f>
        <v/>
      </c>
      <c r="I20" s="22">
        <f>H20*(1+Inputs!B17)</f>
        <v/>
      </c>
      <c r="J20" s="22">
        <f>I20*(1+Inputs!B17)</f>
        <v/>
      </c>
      <c r="K20" s="22">
        <f>J20*(1+Inputs!B17)</f>
        <v/>
      </c>
      <c r="L20" s="22">
        <f>K20*(1+Inputs!B17)</f>
        <v/>
      </c>
    </row>
    <row r="21">
      <c r="A21" t="inlineStr">
        <is>
          <t>ADR (Actual):</t>
        </is>
      </c>
      <c r="B21" s="5">
        <f>B20</f>
        <v/>
      </c>
      <c r="C21" s="5">
        <f>C20</f>
        <v/>
      </c>
      <c r="D21" s="5">
        <f>D20</f>
        <v/>
      </c>
      <c r="E21" s="5">
        <f>E20</f>
        <v/>
      </c>
      <c r="F21" s="5">
        <f>F20</f>
        <v/>
      </c>
      <c r="G21" s="5">
        <f>G20</f>
        <v/>
      </c>
      <c r="H21" s="5">
        <f>H20</f>
        <v/>
      </c>
      <c r="I21" s="5">
        <f>I20</f>
        <v/>
      </c>
      <c r="J21" s="5">
        <f>J20</f>
        <v/>
      </c>
      <c r="K21" s="5">
        <f>K20</f>
        <v/>
      </c>
      <c r="L21" s="5">
        <f>L20</f>
        <v/>
      </c>
    </row>
    <row r="22">
      <c r="A22" t="inlineStr">
        <is>
          <t>Occupancy (Actual):</t>
        </is>
      </c>
      <c r="B22" s="6">
        <f>B12</f>
        <v/>
      </c>
      <c r="C22" s="6">
        <f>C12</f>
        <v/>
      </c>
      <c r="D22" s="6">
        <f>D12</f>
        <v/>
      </c>
      <c r="E22" s="6">
        <f>E12</f>
        <v/>
      </c>
      <c r="F22" s="6">
        <f>F12</f>
        <v/>
      </c>
      <c r="G22" s="6">
        <f>G12</f>
        <v/>
      </c>
      <c r="H22" s="6">
        <f>H12</f>
        <v/>
      </c>
      <c r="I22" s="6">
        <f>I12</f>
        <v/>
      </c>
      <c r="J22" s="6">
        <f>J12</f>
        <v/>
      </c>
      <c r="K22" s="6">
        <f>K12</f>
        <v/>
      </c>
      <c r="L22" s="6">
        <f>L12</f>
        <v/>
      </c>
    </row>
    <row r="23">
      <c r="A23" t="inlineStr">
        <is>
          <t>RevPAR ($):</t>
        </is>
      </c>
      <c r="B23" s="22">
        <f>B21*B22</f>
        <v/>
      </c>
      <c r="C23" s="22">
        <f>C21*C22</f>
        <v/>
      </c>
      <c r="D23" s="22">
        <f>D21*D22</f>
        <v/>
      </c>
      <c r="E23" s="22">
        <f>E21*E22</f>
        <v/>
      </c>
      <c r="F23" s="22">
        <f>F21*F22</f>
        <v/>
      </c>
      <c r="G23" s="22">
        <f>G21*G22</f>
        <v/>
      </c>
      <c r="H23" s="22">
        <f>H21*H22</f>
        <v/>
      </c>
      <c r="I23" s="22">
        <f>I21*I22</f>
        <v/>
      </c>
      <c r="J23" s="22">
        <f>J21*J22</f>
        <v/>
      </c>
      <c r="K23" s="22">
        <f>K21*K22</f>
        <v/>
      </c>
      <c r="L23" s="22">
        <f>L21*L22</f>
        <v/>
      </c>
    </row>
    <row r="25">
      <c r="A25" t="inlineStr">
        <is>
          <t>Total Rooms Revenue:</t>
        </is>
      </c>
      <c r="B25" s="22">
        <f>B13*B20/1000</f>
        <v/>
      </c>
      <c r="C25" s="22">
        <f>C13*C20/1000</f>
        <v/>
      </c>
      <c r="D25" s="22">
        <f>D13*D20/1000</f>
        <v/>
      </c>
      <c r="E25" s="22">
        <f>E13*E20/1000</f>
        <v/>
      </c>
      <c r="F25" s="22">
        <f>F13*F20/1000</f>
        <v/>
      </c>
      <c r="G25" s="22">
        <f>G13*G20/1000</f>
        <v/>
      </c>
      <c r="H25" s="22">
        <f>H13*H20/1000</f>
        <v/>
      </c>
      <c r="I25" s="22">
        <f>I13*I20/1000</f>
        <v/>
      </c>
      <c r="J25" s="22">
        <f>J13*J20/1000</f>
        <v/>
      </c>
      <c r="K25" s="22">
        <f>K13*K20/1000</f>
        <v/>
      </c>
      <c r="L25" s="22">
        <f>L13*L20/1000</f>
        <v/>
      </c>
    </row>
    <row r="27">
      <c r="A27" s="2" t="inlineStr">
        <is>
          <t>Food &amp; Beverage Revenue</t>
        </is>
      </c>
    </row>
    <row r="28">
      <c r="A28" t="inlineStr">
        <is>
          <t>Outlet Revenue:</t>
        </is>
      </c>
      <c r="B28" s="22">
        <f>B13*Inputs!B28*365/1000</f>
        <v/>
      </c>
      <c r="C28" s="22">
        <f>B28*(1+Inputs!B31)</f>
        <v/>
      </c>
      <c r="D28" s="22">
        <f>C28*(1+Inputs!B31)</f>
        <v/>
      </c>
      <c r="E28" s="22">
        <f>D28*(1+Inputs!B31)</f>
        <v/>
      </c>
      <c r="F28" s="22">
        <f>E28*(1+Inputs!B31)</f>
        <v/>
      </c>
      <c r="G28" s="22">
        <f>F28*(1+Inputs!B31)</f>
        <v/>
      </c>
      <c r="H28" s="22">
        <f>G28*(1+Inputs!B31)</f>
        <v/>
      </c>
      <c r="I28" s="22">
        <f>H28*(1+Inputs!B31)</f>
        <v/>
      </c>
      <c r="J28" s="22">
        <f>I28*(1+Inputs!B31)</f>
        <v/>
      </c>
      <c r="K28" s="22">
        <f>J28*(1+Inputs!B31)</f>
        <v/>
      </c>
      <c r="L28" s="22">
        <f>K28*(1+Inputs!B31)</f>
        <v/>
      </c>
    </row>
    <row r="29">
      <c r="A29" t="inlineStr">
        <is>
          <t>Banquet/Catering Revenue:</t>
        </is>
      </c>
      <c r="B29" s="22">
        <f>B15*Inputs!B29/1000</f>
        <v/>
      </c>
      <c r="C29" s="22">
        <f>C15*Inputs!B29/1000*(1+Inputs!B31)^(1)</f>
        <v/>
      </c>
      <c r="D29" s="22">
        <f>D15*Inputs!B29/1000*(1+Inputs!B31)^(2)</f>
        <v/>
      </c>
      <c r="E29" s="22">
        <f>E15*Inputs!B29/1000*(1+Inputs!B31)^(3)</f>
        <v/>
      </c>
      <c r="F29" s="22">
        <f>F15*Inputs!B29/1000*(1+Inputs!B31)^(4)</f>
        <v/>
      </c>
      <c r="G29" s="22">
        <f>G15*Inputs!B29/1000*(1+Inputs!B31)^(5)</f>
        <v/>
      </c>
      <c r="H29" s="22">
        <f>H15*Inputs!B29/1000*(1+Inputs!B31)^(6)</f>
        <v/>
      </c>
      <c r="I29" s="22">
        <f>I15*Inputs!B29/1000*(1+Inputs!B31)^(7)</f>
        <v/>
      </c>
      <c r="J29" s="22">
        <f>J15*Inputs!B29/1000*(1+Inputs!B31)^(8)</f>
        <v/>
      </c>
      <c r="K29" s="22">
        <f>K15*Inputs!B29/1000*(1+Inputs!B31)^(9)</f>
        <v/>
      </c>
      <c r="L29" s="22">
        <f>L15*Inputs!B29/1000*(1+Inputs!B31)^(10)</f>
        <v/>
      </c>
    </row>
    <row r="30">
      <c r="A30" t="inlineStr">
        <is>
          <t>Total F&amp;B Revenue:</t>
        </is>
      </c>
      <c r="B30" s="22">
        <f>B28+B29</f>
        <v/>
      </c>
      <c r="C30" s="22">
        <f>C28+C29</f>
        <v/>
      </c>
      <c r="D30" s="22">
        <f>D28+D29</f>
        <v/>
      </c>
      <c r="E30" s="22">
        <f>E28+E29</f>
        <v/>
      </c>
      <c r="F30" s="22">
        <f>F28+F29</f>
        <v/>
      </c>
      <c r="G30" s="22">
        <f>G28+G29</f>
        <v/>
      </c>
      <c r="H30" s="22">
        <f>H28+H29</f>
        <v/>
      </c>
      <c r="I30" s="22">
        <f>I28+I29</f>
        <v/>
      </c>
      <c r="J30" s="22">
        <f>J28+J29</f>
        <v/>
      </c>
      <c r="K30" s="22">
        <f>K28+K29</f>
        <v/>
      </c>
      <c r="L30" s="22">
        <f>L28+L29</f>
        <v/>
      </c>
    </row>
    <row r="32">
      <c r="A32" s="2" t="inlineStr">
        <is>
          <t>Other Operated Departments</t>
        </is>
      </c>
    </row>
    <row r="33">
      <c r="A33" t="inlineStr">
        <is>
          <t>Meeting Room Rental:</t>
        </is>
      </c>
      <c r="B33" s="22">
        <f>Inputs!B34*B10/1000</f>
        <v/>
      </c>
      <c r="C33" s="22">
        <f>Inputs!B34*C10/1000</f>
        <v/>
      </c>
      <c r="D33" s="22">
        <f>Inputs!B34*D10/1000</f>
        <v/>
      </c>
      <c r="E33" s="22">
        <f>Inputs!B34*E10/1000</f>
        <v/>
      </c>
      <c r="F33" s="22">
        <f>Inputs!B34*F10/1000</f>
        <v/>
      </c>
      <c r="G33" s="22">
        <f>Inputs!B34*G10/1000</f>
        <v/>
      </c>
      <c r="H33" s="22">
        <f>Inputs!B34*H10/1000</f>
        <v/>
      </c>
      <c r="I33" s="22">
        <f>Inputs!B34*I10/1000</f>
        <v/>
      </c>
      <c r="J33" s="22">
        <f>Inputs!B34*J10/1000</f>
        <v/>
      </c>
      <c r="K33" s="22">
        <f>Inputs!B34*K10/1000</f>
        <v/>
      </c>
      <c r="L33" s="22">
        <f>Inputs!B34*L10/1000</f>
        <v/>
      </c>
    </row>
    <row r="34">
      <c r="A34" t="inlineStr">
        <is>
          <t>Parking:</t>
        </is>
      </c>
      <c r="B34" s="22">
        <f>Inputs!B35*B10/1000</f>
        <v/>
      </c>
      <c r="C34" s="22">
        <f>Inputs!B35*C10/1000</f>
        <v/>
      </c>
      <c r="D34" s="22">
        <f>Inputs!B35*D10/1000</f>
        <v/>
      </c>
      <c r="E34" s="22">
        <f>Inputs!B35*E10/1000</f>
        <v/>
      </c>
      <c r="F34" s="22">
        <f>Inputs!B35*F10/1000</f>
        <v/>
      </c>
      <c r="G34" s="22">
        <f>Inputs!B35*G10/1000</f>
        <v/>
      </c>
      <c r="H34" s="22">
        <f>Inputs!B35*H10/1000</f>
        <v/>
      </c>
      <c r="I34" s="22">
        <f>Inputs!B35*I10/1000</f>
        <v/>
      </c>
      <c r="J34" s="22">
        <f>Inputs!B35*J10/1000</f>
        <v/>
      </c>
      <c r="K34" s="22">
        <f>Inputs!B35*K10/1000</f>
        <v/>
      </c>
      <c r="L34" s="22">
        <f>Inputs!B35*L10/1000</f>
        <v/>
      </c>
    </row>
    <row r="35">
      <c r="A35" t="inlineStr">
        <is>
          <t>Spa/Fitness:</t>
        </is>
      </c>
      <c r="B35" s="22">
        <f>Inputs!B36*B10/1000</f>
        <v/>
      </c>
      <c r="C35" s="22">
        <f>Inputs!B36*C10/1000</f>
        <v/>
      </c>
      <c r="D35" s="22">
        <f>Inputs!B36*D10/1000</f>
        <v/>
      </c>
      <c r="E35" s="22">
        <f>Inputs!B36*E10/1000</f>
        <v/>
      </c>
      <c r="F35" s="22">
        <f>Inputs!B36*F10/1000</f>
        <v/>
      </c>
      <c r="G35" s="22">
        <f>Inputs!B36*G10/1000</f>
        <v/>
      </c>
      <c r="H35" s="22">
        <f>Inputs!B36*H10/1000</f>
        <v/>
      </c>
      <c r="I35" s="22">
        <f>Inputs!B36*I10/1000</f>
        <v/>
      </c>
      <c r="J35" s="22">
        <f>Inputs!B36*J10/1000</f>
        <v/>
      </c>
      <c r="K35" s="22">
        <f>Inputs!B36*K10/1000</f>
        <v/>
      </c>
      <c r="L35" s="22">
        <f>Inputs!B36*L10/1000</f>
        <v/>
      </c>
    </row>
    <row r="36">
      <c r="A36" t="inlineStr">
        <is>
          <t>Other Revenue:</t>
        </is>
      </c>
      <c r="B36" s="22">
        <f>Inputs!B37*B10/1000</f>
        <v/>
      </c>
      <c r="C36" s="22">
        <f>Inputs!B37*C10/1000</f>
        <v/>
      </c>
      <c r="D36" s="22">
        <f>Inputs!B37*D10/1000</f>
        <v/>
      </c>
      <c r="E36" s="22">
        <f>Inputs!B37*E10/1000</f>
        <v/>
      </c>
      <c r="F36" s="22">
        <f>Inputs!B37*F10/1000</f>
        <v/>
      </c>
      <c r="G36" s="22">
        <f>Inputs!B37*G10/1000</f>
        <v/>
      </c>
      <c r="H36" s="22">
        <f>Inputs!B37*H10/1000</f>
        <v/>
      </c>
      <c r="I36" s="22">
        <f>Inputs!B37*I10/1000</f>
        <v/>
      </c>
      <c r="J36" s="22">
        <f>Inputs!B37*J10/1000</f>
        <v/>
      </c>
      <c r="K36" s="22">
        <f>Inputs!B37*K10/1000</f>
        <v/>
      </c>
      <c r="L36" s="22">
        <f>Inputs!B37*L10/1000</f>
        <v/>
      </c>
    </row>
    <row r="38">
      <c r="A38" t="inlineStr">
        <is>
          <t>Total Other Revenue:</t>
        </is>
      </c>
      <c r="B38" s="22">
        <f>B33+B34+B35+B36</f>
        <v/>
      </c>
      <c r="C38" s="22">
        <f>C33+C34+C35+C36</f>
        <v/>
      </c>
      <c r="D38" s="22">
        <f>D33+D34+D35+D36</f>
        <v/>
      </c>
      <c r="E38" s="22">
        <f>E33+E34+E35+E36</f>
        <v/>
      </c>
      <c r="F38" s="22">
        <f>F33+F34+F35+F36</f>
        <v/>
      </c>
      <c r="G38" s="22">
        <f>G33+G34+G35+G36</f>
        <v/>
      </c>
      <c r="H38" s="22">
        <f>H33+H34+H35+H36</f>
        <v/>
      </c>
      <c r="I38" s="22">
        <f>I33+I34+I35+I36</f>
        <v/>
      </c>
      <c r="J38" s="22">
        <f>J33+J34+J35+J36</f>
        <v/>
      </c>
      <c r="K38" s="22">
        <f>K33+K34+K35+K36</f>
        <v/>
      </c>
      <c r="L38" s="22">
        <f>L33+L34+L35+L36</f>
        <v/>
      </c>
    </row>
    <row r="40">
      <c r="A40" s="2" t="inlineStr">
        <is>
          <t>TOTAL OPERATING REVENUE</t>
        </is>
      </c>
    </row>
    <row r="42">
      <c r="A42" t="inlineStr">
        <is>
          <t>Total Revenue:</t>
        </is>
      </c>
      <c r="B42" s="22">
        <f>B25+B30+B38</f>
        <v/>
      </c>
      <c r="C42" s="22">
        <f>C25+C30+C38</f>
        <v/>
      </c>
      <c r="D42" s="22">
        <f>D25+D30+D38</f>
        <v/>
      </c>
      <c r="E42" s="22">
        <f>E25+E30+E38</f>
        <v/>
      </c>
      <c r="F42" s="22">
        <f>F25+F30+F38</f>
        <v/>
      </c>
      <c r="G42" s="22">
        <f>G25+G30+G38</f>
        <v/>
      </c>
      <c r="H42" s="22">
        <f>H25+H30+H38</f>
        <v/>
      </c>
      <c r="I42" s="22">
        <f>I25+I30+I38</f>
        <v/>
      </c>
      <c r="J42" s="22">
        <f>J25+J30+J38</f>
        <v/>
      </c>
      <c r="K42" s="22">
        <f>K25+K30+K38</f>
        <v/>
      </c>
      <c r="L42" s="22">
        <f>L25+L30+L38</f>
        <v/>
      </c>
    </row>
    <row r="44">
      <c r="A44" s="2" t="inlineStr">
        <is>
          <t>OPERATING EXPENSES ($000s)</t>
        </is>
      </c>
    </row>
    <row r="46">
      <c r="A46" s="2" t="inlineStr">
        <is>
          <t>Department Expenses</t>
        </is>
      </c>
    </row>
    <row r="47">
      <c r="A47" t="inlineStr">
        <is>
          <t>Rooms Expense:</t>
        </is>
      </c>
      <c r="B47" s="22">
        <f>B25*Inputs!B41</f>
        <v/>
      </c>
      <c r="C47" s="22">
        <f>C25*Inputs!B41</f>
        <v/>
      </c>
      <c r="D47" s="22">
        <f>D25*Inputs!B41</f>
        <v/>
      </c>
      <c r="E47" s="22">
        <f>E25*Inputs!B41</f>
        <v/>
      </c>
      <c r="F47" s="22">
        <f>F25*Inputs!B41</f>
        <v/>
      </c>
      <c r="G47" s="22">
        <f>G25*Inputs!B41</f>
        <v/>
      </c>
      <c r="H47" s="22">
        <f>H25*Inputs!B41</f>
        <v/>
      </c>
      <c r="I47" s="22">
        <f>I25*Inputs!B41</f>
        <v/>
      </c>
      <c r="J47" s="22">
        <f>J25*Inputs!B41</f>
        <v/>
      </c>
      <c r="K47" s="22">
        <f>K25*Inputs!B41</f>
        <v/>
      </c>
      <c r="L47" s="22">
        <f>L25*Inputs!B41</f>
        <v/>
      </c>
    </row>
    <row r="48">
      <c r="A48" t="inlineStr">
        <is>
          <t>F&amp;B Expense:</t>
        </is>
      </c>
      <c r="B48" s="22">
        <f>B30*Inputs!B42</f>
        <v/>
      </c>
      <c r="C48" s="22">
        <f>C30*Inputs!B42</f>
        <v/>
      </c>
      <c r="D48" s="22">
        <f>D30*Inputs!B42</f>
        <v/>
      </c>
      <c r="E48" s="22">
        <f>E30*Inputs!B42</f>
        <v/>
      </c>
      <c r="F48" s="22">
        <f>F30*Inputs!B42</f>
        <v/>
      </c>
      <c r="G48" s="22">
        <f>G30*Inputs!B42</f>
        <v/>
      </c>
      <c r="H48" s="22">
        <f>H30*Inputs!B42</f>
        <v/>
      </c>
      <c r="I48" s="22">
        <f>I30*Inputs!B42</f>
        <v/>
      </c>
      <c r="J48" s="22">
        <f>J30*Inputs!B42</f>
        <v/>
      </c>
      <c r="K48" s="22">
        <f>K30*Inputs!B42</f>
        <v/>
      </c>
      <c r="L48" s="22">
        <f>L30*Inputs!B42</f>
        <v/>
      </c>
    </row>
    <row r="49">
      <c r="A49" t="inlineStr">
        <is>
          <t>Other Department Expense:</t>
        </is>
      </c>
      <c r="B49" s="22">
        <f>B38*Inputs!B43</f>
        <v/>
      </c>
      <c r="C49" s="22">
        <f>C38*Inputs!B43</f>
        <v/>
      </c>
      <c r="D49" s="22">
        <f>D38*Inputs!B43</f>
        <v/>
      </c>
      <c r="E49" s="22">
        <f>E38*Inputs!B43</f>
        <v/>
      </c>
      <c r="F49" s="22">
        <f>F38*Inputs!B43</f>
        <v/>
      </c>
      <c r="G49" s="22">
        <f>G38*Inputs!B43</f>
        <v/>
      </c>
      <c r="H49" s="22">
        <f>H38*Inputs!B43</f>
        <v/>
      </c>
      <c r="I49" s="22">
        <f>I38*Inputs!B43</f>
        <v/>
      </c>
      <c r="J49" s="22">
        <f>J38*Inputs!B43</f>
        <v/>
      </c>
      <c r="K49" s="22">
        <f>K38*Inputs!B43</f>
        <v/>
      </c>
      <c r="L49" s="22">
        <f>L38*Inputs!B43</f>
        <v/>
      </c>
    </row>
    <row r="51">
      <c r="A51" t="inlineStr">
        <is>
          <t>Total Department Expense:</t>
        </is>
      </c>
      <c r="B51" s="22">
        <f>B47+B48+B49</f>
        <v/>
      </c>
      <c r="C51" s="22">
        <f>C47+C48+C49</f>
        <v/>
      </c>
      <c r="D51" s="22">
        <f>D47+D48+D49</f>
        <v/>
      </c>
      <c r="E51" s="22">
        <f>E47+E48+E49</f>
        <v/>
      </c>
      <c r="F51" s="22">
        <f>F47+F48+F49</f>
        <v/>
      </c>
      <c r="G51" s="22">
        <f>G47+G48+G49</f>
        <v/>
      </c>
      <c r="H51" s="22">
        <f>H47+H48+H49</f>
        <v/>
      </c>
      <c r="I51" s="22">
        <f>I47+I48+I49</f>
        <v/>
      </c>
      <c r="J51" s="22">
        <f>J47+J48+J49</f>
        <v/>
      </c>
      <c r="K51" s="22">
        <f>K47+K48+K49</f>
        <v/>
      </c>
      <c r="L51" s="22">
        <f>L47+L48+L49</f>
        <v/>
      </c>
    </row>
    <row r="53">
      <c r="A53" s="2" t="inlineStr">
        <is>
          <t>Undistributed Expenses</t>
        </is>
      </c>
    </row>
    <row r="54">
      <c r="A54" t="inlineStr">
        <is>
          <t>Administrative &amp; General:</t>
        </is>
      </c>
      <c r="B54" s="22">
        <f>Inputs!B45*B10/1000</f>
        <v/>
      </c>
      <c r="C54" s="22">
        <f>B54*(1+Inputs!B50)</f>
        <v/>
      </c>
      <c r="D54" s="22">
        <f>C54*(1+Inputs!B50)</f>
        <v/>
      </c>
      <c r="E54" s="22">
        <f>D54*(1+Inputs!B50)</f>
        <v/>
      </c>
      <c r="F54" s="22">
        <f>E54*(1+Inputs!B50)</f>
        <v/>
      </c>
      <c r="G54" s="22">
        <f>F54*(1+Inputs!B50)</f>
        <v/>
      </c>
      <c r="H54" s="22">
        <f>G54*(1+Inputs!B50)</f>
        <v/>
      </c>
      <c r="I54" s="22">
        <f>H54*(1+Inputs!B50)</f>
        <v/>
      </c>
      <c r="J54" s="22">
        <f>I54*(1+Inputs!B50)</f>
        <v/>
      </c>
      <c r="K54" s="22">
        <f>J54*(1+Inputs!B50)</f>
        <v/>
      </c>
      <c r="L54" s="22">
        <f>K54*(1+Inputs!B50)</f>
        <v/>
      </c>
    </row>
    <row r="55">
      <c r="A55" t="inlineStr">
        <is>
          <t>Property Operations &amp; Maintenance:</t>
        </is>
      </c>
      <c r="B55" s="22">
        <f>Inputs!B46*B10/1000</f>
        <v/>
      </c>
      <c r="C55" s="22">
        <f>B55*(1+Inputs!B50)</f>
        <v/>
      </c>
      <c r="D55" s="22">
        <f>C55*(1+Inputs!B50)</f>
        <v/>
      </c>
      <c r="E55" s="22">
        <f>D55*(1+Inputs!B50)</f>
        <v/>
      </c>
      <c r="F55" s="22">
        <f>E55*(1+Inputs!B50)</f>
        <v/>
      </c>
      <c r="G55" s="22">
        <f>F55*(1+Inputs!B50)</f>
        <v/>
      </c>
      <c r="H55" s="22">
        <f>G55*(1+Inputs!B50)</f>
        <v/>
      </c>
      <c r="I55" s="22">
        <f>H55*(1+Inputs!B50)</f>
        <v/>
      </c>
      <c r="J55" s="22">
        <f>I55*(1+Inputs!B50)</f>
        <v/>
      </c>
      <c r="K55" s="22">
        <f>J55*(1+Inputs!B50)</f>
        <v/>
      </c>
      <c r="L55" s="22">
        <f>K55*(1+Inputs!B50)</f>
        <v/>
      </c>
    </row>
    <row r="56">
      <c r="A56" t="inlineStr">
        <is>
          <t>Utilities:</t>
        </is>
      </c>
      <c r="B56" s="22">
        <f>Inputs!B47*B10/1000</f>
        <v/>
      </c>
      <c r="C56" s="22">
        <f>B56*(1+Inputs!B50)</f>
        <v/>
      </c>
      <c r="D56" s="22">
        <f>C56*(1+Inputs!B50)</f>
        <v/>
      </c>
      <c r="E56" s="22">
        <f>D56*(1+Inputs!B50)</f>
        <v/>
      </c>
      <c r="F56" s="22">
        <f>E56*(1+Inputs!B50)</f>
        <v/>
      </c>
      <c r="G56" s="22">
        <f>F56*(1+Inputs!B50)</f>
        <v/>
      </c>
      <c r="H56" s="22">
        <f>G56*(1+Inputs!B50)</f>
        <v/>
      </c>
      <c r="I56" s="22">
        <f>H56*(1+Inputs!B50)</f>
        <v/>
      </c>
      <c r="J56" s="22">
        <f>I56*(1+Inputs!B50)</f>
        <v/>
      </c>
      <c r="K56" s="22">
        <f>J56*(1+Inputs!B50)</f>
        <v/>
      </c>
      <c r="L56" s="22">
        <f>K56*(1+Inputs!B50)</f>
        <v/>
      </c>
    </row>
    <row r="58">
      <c r="A58" s="2" t="inlineStr">
        <is>
          <t>Fixed Charges</t>
        </is>
      </c>
    </row>
    <row r="59">
      <c r="A59" t="inlineStr">
        <is>
          <t>Franchise/Royalty Fees:</t>
        </is>
      </c>
      <c r="B59" s="22">
        <f>B25*(Inputs!B23+Inputs!B24+Inputs!B25)</f>
        <v/>
      </c>
      <c r="C59" s="22">
        <f>C25*(Inputs!B23+Inputs!B24+Inputs!B25)</f>
        <v/>
      </c>
      <c r="D59" s="22">
        <f>D25*(Inputs!B23+Inputs!B24+Inputs!B25)</f>
        <v/>
      </c>
      <c r="E59" s="22">
        <f>E25*(Inputs!B23+Inputs!B24+Inputs!B25)</f>
        <v/>
      </c>
      <c r="F59" s="22">
        <f>F25*(Inputs!B23+Inputs!B24+Inputs!B25)</f>
        <v/>
      </c>
      <c r="G59" s="22">
        <f>G25*(Inputs!B23+Inputs!B24+Inputs!B25)</f>
        <v/>
      </c>
      <c r="H59" s="22">
        <f>H25*(Inputs!B23+Inputs!B24+Inputs!B25)</f>
        <v/>
      </c>
      <c r="I59" s="22">
        <f>I25*(Inputs!B23+Inputs!B24+Inputs!B25)</f>
        <v/>
      </c>
      <c r="J59" s="22">
        <f>J25*(Inputs!B23+Inputs!B24+Inputs!B25)</f>
        <v/>
      </c>
      <c r="K59" s="22">
        <f>K25*(Inputs!B23+Inputs!B24+Inputs!B25)</f>
        <v/>
      </c>
      <c r="L59" s="22">
        <f>L25*(Inputs!B23+Inputs!B24+Inputs!B25)</f>
        <v/>
      </c>
    </row>
    <row r="60">
      <c r="A60" t="inlineStr">
        <is>
          <t>Insurance:</t>
        </is>
      </c>
      <c r="B60" s="22">
        <f>B42*Inputs!B48</f>
        <v/>
      </c>
      <c r="C60" s="22">
        <f>C42*Inputs!B48</f>
        <v/>
      </c>
      <c r="D60" s="22">
        <f>D42*Inputs!B48</f>
        <v/>
      </c>
      <c r="E60" s="22">
        <f>E42*Inputs!B48</f>
        <v/>
      </c>
      <c r="F60" s="22">
        <f>F42*Inputs!B48</f>
        <v/>
      </c>
      <c r="G60" s="22">
        <f>G42*Inputs!B48</f>
        <v/>
      </c>
      <c r="H60" s="22">
        <f>H42*Inputs!B48</f>
        <v/>
      </c>
      <c r="I60" s="22">
        <f>I42*Inputs!B48</f>
        <v/>
      </c>
      <c r="J60" s="22">
        <f>J42*Inputs!B48</f>
        <v/>
      </c>
      <c r="K60" s="22">
        <f>K42*Inputs!B48</f>
        <v/>
      </c>
      <c r="L60" s="22">
        <f>L42*Inputs!B48</f>
        <v/>
      </c>
    </row>
    <row r="61">
      <c r="A61" t="inlineStr">
        <is>
          <t>Property Tax:</t>
        </is>
      </c>
      <c r="B61" s="22">
        <f>B42*Inputs!B49</f>
        <v/>
      </c>
      <c r="C61" s="22">
        <f>C42*Inputs!B49</f>
        <v/>
      </c>
      <c r="D61" s="22">
        <f>D42*Inputs!B49</f>
        <v/>
      </c>
      <c r="E61" s="22">
        <f>E42*Inputs!B49</f>
        <v/>
      </c>
      <c r="F61" s="22">
        <f>F42*Inputs!B49</f>
        <v/>
      </c>
      <c r="G61" s="22">
        <f>G42*Inputs!B49</f>
        <v/>
      </c>
      <c r="H61" s="22">
        <f>H42*Inputs!B49</f>
        <v/>
      </c>
      <c r="I61" s="22">
        <f>I42*Inputs!B49</f>
        <v/>
      </c>
      <c r="J61" s="22">
        <f>J42*Inputs!B49</f>
        <v/>
      </c>
      <c r="K61" s="22">
        <f>K42*Inputs!B49</f>
        <v/>
      </c>
      <c r="L61" s="22">
        <f>L42*Inputs!B49</f>
        <v/>
      </c>
    </row>
    <row r="63">
      <c r="A63" s="2" t="inlineStr">
        <is>
          <t>TOTAL EXPENSES</t>
        </is>
      </c>
    </row>
    <row r="65">
      <c r="A65" t="inlineStr">
        <is>
          <t>Total Operating Expenses:</t>
        </is>
      </c>
      <c r="B65" s="22">
        <f>B51+B54+B55+B56+B59+B60+B61</f>
        <v/>
      </c>
      <c r="C65" s="22">
        <f>C51+C54+C55+C56+C59+C60+C61</f>
        <v/>
      </c>
      <c r="D65" s="22">
        <f>D51+D54+D55+D56+D59+D60+D61</f>
        <v/>
      </c>
      <c r="E65" s="22">
        <f>E51+E54+E55+E56+E59+E60+E61</f>
        <v/>
      </c>
      <c r="F65" s="22">
        <f>F51+F54+F55+F56+F59+F60+F61</f>
        <v/>
      </c>
      <c r="G65" s="22">
        <f>G51+G54+G55+G56+G59+G60+G61</f>
        <v/>
      </c>
      <c r="H65" s="22">
        <f>H51+H54+H55+H56+H59+H60+H61</f>
        <v/>
      </c>
      <c r="I65" s="22">
        <f>I51+I54+I55+I56+I59+I60+I61</f>
        <v/>
      </c>
      <c r="J65" s="22">
        <f>J51+J54+J55+J56+J59+J60+J61</f>
        <v/>
      </c>
      <c r="K65" s="22">
        <f>K51+K54+K55+K56+K59+K60+K61</f>
        <v/>
      </c>
      <c r="L65" s="22">
        <f>L51+L54+L55+L56+L59+L60+L61</f>
        <v/>
      </c>
    </row>
    <row r="71">
      <c r="A71" t="inlineStr">
        <is>
          <t>Total Operating Expenses (Summary):</t>
        </is>
      </c>
      <c r="B71" s="5">
        <f>B65</f>
        <v/>
      </c>
      <c r="C71" s="5">
        <f>C65</f>
        <v/>
      </c>
      <c r="D71" s="5">
        <f>D65</f>
        <v/>
      </c>
      <c r="E71" s="5">
        <f>E65</f>
        <v/>
      </c>
      <c r="F71" s="5">
        <f>F65</f>
        <v/>
      </c>
      <c r="G71" s="5">
        <f>G65</f>
        <v/>
      </c>
      <c r="H71" s="5">
        <f>H65</f>
        <v/>
      </c>
      <c r="I71" s="5">
        <f>I65</f>
        <v/>
      </c>
      <c r="J71" s="5">
        <f>J65</f>
        <v/>
      </c>
      <c r="K71" s="5">
        <f>K65</f>
        <v/>
      </c>
      <c r="L71" s="5">
        <f>L65</f>
        <v/>
      </c>
    </row>
    <row r="73">
      <c r="A73" t="inlineStr">
        <is>
          <t>Gross Operating Profit (GOP):</t>
        </is>
      </c>
      <c r="B73" s="22">
        <f>B42-B71</f>
        <v/>
      </c>
      <c r="C73" s="22">
        <f>C42-C71</f>
        <v/>
      </c>
      <c r="D73" s="22">
        <f>D42-D71</f>
        <v/>
      </c>
      <c r="E73" s="22">
        <f>E42-E71</f>
        <v/>
      </c>
      <c r="F73" s="22">
        <f>F42-F71</f>
        <v/>
      </c>
      <c r="G73" s="22">
        <f>G42-G71</f>
        <v/>
      </c>
      <c r="H73" s="22">
        <f>H42-H71</f>
        <v/>
      </c>
      <c r="I73" s="22">
        <f>I42-I71</f>
        <v/>
      </c>
      <c r="J73" s="22">
        <f>J42-J71</f>
        <v/>
      </c>
      <c r="K73" s="22">
        <f>K42-K71</f>
        <v/>
      </c>
      <c r="L73" s="22">
        <f>L42-L71</f>
        <v/>
      </c>
    </row>
    <row r="74">
      <c r="A74" t="inlineStr">
        <is>
          <t>GOP Margin (%):</t>
        </is>
      </c>
      <c r="B74" s="8">
        <f>B73/B42</f>
        <v/>
      </c>
      <c r="C74" s="8">
        <f>C73/C42</f>
        <v/>
      </c>
      <c r="D74" s="8">
        <f>D73/D42</f>
        <v/>
      </c>
      <c r="E74" s="8">
        <f>E73/E42</f>
        <v/>
      </c>
      <c r="F74" s="8">
        <f>F73/F42</f>
        <v/>
      </c>
      <c r="G74" s="8">
        <f>G73/G42</f>
        <v/>
      </c>
      <c r="H74" s="8">
        <f>H73/H42</f>
        <v/>
      </c>
      <c r="I74" s="8">
        <f>I73/I42</f>
        <v/>
      </c>
      <c r="J74" s="8">
        <f>J73/J42</f>
        <v/>
      </c>
      <c r="K74" s="8">
        <f>K73/K42</f>
        <v/>
      </c>
      <c r="L74" s="8">
        <f>L73/L42</f>
        <v/>
      </c>
    </row>
    <row r="76">
      <c r="A76" t="inlineStr">
        <is>
          <t>Net Operating Income (NOI):</t>
        </is>
      </c>
      <c r="B76" s="22">
        <f>B73</f>
        <v/>
      </c>
      <c r="C76" s="22">
        <f>C73</f>
        <v/>
      </c>
      <c r="D76" s="22">
        <f>D73</f>
        <v/>
      </c>
      <c r="E76" s="22">
        <f>E73</f>
        <v/>
      </c>
      <c r="F76" s="22">
        <f>F73</f>
        <v/>
      </c>
      <c r="G76" s="22">
        <f>G73</f>
        <v/>
      </c>
      <c r="H76" s="22">
        <f>H73</f>
        <v/>
      </c>
      <c r="I76" s="22">
        <f>I73</f>
        <v/>
      </c>
      <c r="J76" s="22">
        <f>J73</f>
        <v/>
      </c>
      <c r="K76" s="22">
        <f>K73</f>
        <v/>
      </c>
      <c r="L76" s="22">
        <f>L73</f>
        <v/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0" t="inlineStr">
        <is>
          <t>CASH FLOW ANALYSIS</t>
        </is>
      </c>
    </row>
    <row r="3">
      <c r="A3" s="14" t="inlineStr">
        <is>
          <t>Period</t>
        </is>
      </c>
      <c r="B3" s="14" t="inlineStr">
        <is>
          <t>Year 0</t>
        </is>
      </c>
      <c r="C3" s="14" t="inlineStr">
        <is>
          <t>Year 1</t>
        </is>
      </c>
      <c r="D3" s="14" t="inlineStr">
        <is>
          <t>Year 2</t>
        </is>
      </c>
      <c r="E3" s="14" t="inlineStr">
        <is>
          <t>Year 3</t>
        </is>
      </c>
      <c r="F3" s="14" t="inlineStr">
        <is>
          <t>Year 4</t>
        </is>
      </c>
      <c r="G3" s="14" t="inlineStr">
        <is>
          <t>Year 5</t>
        </is>
      </c>
      <c r="H3" s="14" t="inlineStr">
        <is>
          <t>Year 6</t>
        </is>
      </c>
      <c r="I3" s="14" t="inlineStr">
        <is>
          <t>Year 7</t>
        </is>
      </c>
      <c r="J3" s="14" t="inlineStr">
        <is>
          <t>Year 8</t>
        </is>
      </c>
      <c r="K3" s="14" t="inlineStr">
        <is>
          <t>Year 9</t>
        </is>
      </c>
      <c r="L3" s="14" t="inlineStr">
        <is>
          <t>Year 10</t>
        </is>
      </c>
    </row>
    <row r="5">
      <c r="A5" s="2" t="inlineStr">
        <is>
          <t>SOURCES &amp; USES ($000s)</t>
        </is>
      </c>
    </row>
    <row r="7">
      <c r="A7" s="2" t="inlineStr">
        <is>
          <t>Sources:</t>
        </is>
      </c>
    </row>
    <row r="8">
      <c r="A8" t="inlineStr">
        <is>
          <t>Equity Investment:</t>
        </is>
      </c>
      <c r="B8" s="22">
        <f>Inputs!B60*(1-Inputs!B64)</f>
        <v/>
      </c>
    </row>
    <row r="9">
      <c r="A9" t="inlineStr">
        <is>
          <t>Debt Financing:</t>
        </is>
      </c>
      <c r="B9" s="22">
        <f>Inputs!B60*Inputs!B64</f>
        <v/>
      </c>
    </row>
    <row r="10">
      <c r="A10" t="inlineStr">
        <is>
          <t>Total Sources:</t>
        </is>
      </c>
      <c r="B10" s="22">
        <f>B8+B9</f>
        <v/>
      </c>
    </row>
    <row r="12">
      <c r="A12" s="2" t="inlineStr">
        <is>
          <t>Uses:</t>
        </is>
      </c>
    </row>
    <row r="13">
      <c r="A13" t="inlineStr">
        <is>
          <t>Total Development Cost:</t>
        </is>
      </c>
      <c r="B13" s="5">
        <f>Inputs!B60</f>
        <v/>
      </c>
    </row>
    <row r="14">
      <c r="A14" t="inlineStr">
        <is>
          <t>Total Uses:</t>
        </is>
      </c>
      <c r="B14" s="22">
        <f>B13</f>
        <v/>
      </c>
    </row>
    <row r="16">
      <c r="A16" s="2" t="inlineStr">
        <is>
          <t>OPERATING CASH FLOW ($000s)</t>
        </is>
      </c>
    </row>
    <row r="18">
      <c r="A18" t="inlineStr">
        <is>
          <t>Net Operating Income (NOI):</t>
        </is>
      </c>
      <c r="C18" s="5">
        <f>'Pro Forma'!C76</f>
        <v/>
      </c>
      <c r="D18" s="5">
        <f>'Pro Forma'!D76</f>
        <v/>
      </c>
      <c r="E18" s="5">
        <f>'Pro Forma'!E76</f>
        <v/>
      </c>
      <c r="F18" s="5">
        <f>'Pro Forma'!F76</f>
        <v/>
      </c>
      <c r="G18" s="5">
        <f>'Pro Forma'!G76</f>
        <v/>
      </c>
      <c r="H18" s="5">
        <f>'Pro Forma'!H76</f>
        <v/>
      </c>
      <c r="I18" s="5">
        <f>'Pro Forma'!I76</f>
        <v/>
      </c>
      <c r="J18" s="5">
        <f>'Pro Forma'!J76</f>
        <v/>
      </c>
      <c r="K18" s="5">
        <f>'Pro Forma'!K76</f>
        <v/>
      </c>
      <c r="L18" s="5">
        <f>'Pro Forma'!L76</f>
        <v/>
      </c>
    </row>
    <row r="20">
      <c r="A20" s="2" t="inlineStr">
        <is>
          <t>DEBT SERVICE ($000s)</t>
        </is>
      </c>
    </row>
    <row r="21">
      <c r="A21" t="inlineStr">
        <is>
          <t>Annual Debt Service:</t>
        </is>
      </c>
      <c r="C21" s="22">
        <f>-PMT(Inputs!B65,Inputs!B67,B9)</f>
        <v/>
      </c>
      <c r="D21" s="22">
        <f>-PMT(Inputs!B65,Inputs!B67,B9)</f>
        <v/>
      </c>
      <c r="E21" s="22">
        <f>-PMT(Inputs!B65,Inputs!B67,B9)</f>
        <v/>
      </c>
      <c r="F21" s="22">
        <f>-PMT(Inputs!B65,Inputs!B67,B9)</f>
        <v/>
      </c>
      <c r="G21" s="22">
        <f>-PMT(Inputs!B65,Inputs!B67,B9)</f>
        <v/>
      </c>
      <c r="H21" s="22">
        <f>-PMT(Inputs!B65,Inputs!B67,B9)</f>
        <v/>
      </c>
      <c r="I21" s="22">
        <f>-PMT(Inputs!B65,Inputs!B67,B9)</f>
        <v/>
      </c>
      <c r="J21" s="22">
        <f>-PMT(Inputs!B65,Inputs!B67,B9)</f>
        <v/>
      </c>
      <c r="K21" s="22">
        <f>-PMT(Inputs!B65,Inputs!B67,B9)</f>
        <v/>
      </c>
      <c r="L21" s="22">
        <f>-PMT(Inputs!B65,Inputs!B67,B9)</f>
        <v/>
      </c>
    </row>
    <row r="23">
      <c r="A23" s="2" t="inlineStr">
        <is>
          <t>CASH FLOW BEFORE TAX</t>
        </is>
      </c>
    </row>
    <row r="25">
      <c r="A25" t="inlineStr">
        <is>
          <t>Cash Flow Before Tax:</t>
        </is>
      </c>
      <c r="C25" s="22">
        <f>C18-C21</f>
        <v/>
      </c>
      <c r="D25" s="22">
        <f>D18-D21</f>
        <v/>
      </c>
      <c r="E25" s="22">
        <f>E18-E21</f>
        <v/>
      </c>
      <c r="F25" s="22">
        <f>F18-F21</f>
        <v/>
      </c>
      <c r="G25" s="22">
        <f>G18-G21</f>
        <v/>
      </c>
      <c r="H25" s="22">
        <f>H18-H21</f>
        <v/>
      </c>
      <c r="I25" s="22">
        <f>I18-I21</f>
        <v/>
      </c>
      <c r="J25" s="22">
        <f>J18-J21</f>
        <v/>
      </c>
      <c r="K25" s="22">
        <f>K18-K21</f>
        <v/>
      </c>
      <c r="L25" s="22">
        <f>L18-L21</f>
        <v/>
      </c>
    </row>
    <row r="27">
      <c r="A27" s="2" t="inlineStr">
        <is>
          <t>CAPITAL EXPENDITURES ($000s)</t>
        </is>
      </c>
    </row>
    <row r="28">
      <c r="A28" t="inlineStr">
        <is>
          <t>FF&amp;E Reserve (4% of revenue):</t>
        </is>
      </c>
      <c r="C28" s="22">
        <f>'Pro Forma'!C42*0.04</f>
        <v/>
      </c>
      <c r="D28" s="22">
        <f>'Pro Forma'!D42*0.04</f>
        <v/>
      </c>
      <c r="E28" s="22">
        <f>'Pro Forma'!E42*0.04</f>
        <v/>
      </c>
      <c r="F28" s="22">
        <f>'Pro Forma'!F42*0.04</f>
        <v/>
      </c>
      <c r="G28" s="22">
        <f>'Pro Forma'!G42*0.04</f>
        <v/>
      </c>
      <c r="H28" s="22">
        <f>'Pro Forma'!H42*0.04</f>
        <v/>
      </c>
      <c r="I28" s="22">
        <f>'Pro Forma'!I42*0.04</f>
        <v/>
      </c>
      <c r="J28" s="22">
        <f>'Pro Forma'!J42*0.04</f>
        <v/>
      </c>
      <c r="K28" s="22">
        <f>'Pro Forma'!K42*0.04</f>
        <v/>
      </c>
      <c r="L28" s="22">
        <f>'Pro Forma'!L42*0.04</f>
        <v/>
      </c>
    </row>
    <row r="30">
      <c r="A30" s="2" t="inlineStr">
        <is>
          <t>NET OPERATING CASH FLOW</t>
        </is>
      </c>
    </row>
    <row r="32">
      <c r="A32" t="inlineStr">
        <is>
          <t>Net Cash Flow:</t>
        </is>
      </c>
      <c r="B32" s="22">
        <f>-B8</f>
        <v/>
      </c>
      <c r="C32" s="22">
        <f>C25-C28</f>
        <v/>
      </c>
      <c r="D32" s="22">
        <f>D25-D28</f>
        <v/>
      </c>
      <c r="E32" s="22">
        <f>E25-E28</f>
        <v/>
      </c>
      <c r="F32" s="22">
        <f>F25-F28</f>
        <v/>
      </c>
      <c r="G32" s="22">
        <f>G25-G28</f>
        <v/>
      </c>
      <c r="H32" s="22">
        <f>H25-H28</f>
        <v/>
      </c>
      <c r="I32" s="22">
        <f>I25-I28</f>
        <v/>
      </c>
      <c r="J32" s="22">
        <f>J25-J28</f>
        <v/>
      </c>
      <c r="K32" s="22">
        <f>K25-K28</f>
        <v/>
      </c>
      <c r="L32" s="22">
        <f>L25-L28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0" t="inlineStr">
        <is>
          <t>RETURNS ANALYSIS</t>
        </is>
      </c>
    </row>
    <row r="3">
      <c r="A3" s="2" t="inlineStr">
        <is>
          <t>EXIT ASSUMPTIONS</t>
        </is>
      </c>
    </row>
    <row r="5">
      <c r="A5" t="inlineStr">
        <is>
          <t>Hold Period (years):</t>
        </is>
      </c>
      <c r="B5" s="4">
        <f>Inputs!B71</f>
        <v/>
      </c>
    </row>
    <row r="6">
      <c r="A6" t="inlineStr">
        <is>
          <t>Exit Year NOI:</t>
        </is>
      </c>
      <c r="B6" s="7">
        <f>'Pro Forma'!L76</f>
        <v/>
      </c>
    </row>
    <row r="7">
      <c r="A7" t="inlineStr">
        <is>
          <t>Exit Cap Rate:</t>
        </is>
      </c>
      <c r="B7" s="6">
        <f>Inputs!B72</f>
        <v/>
      </c>
    </row>
    <row r="8">
      <c r="A8" t="inlineStr">
        <is>
          <t>Estimated Value:</t>
        </is>
      </c>
      <c r="B8" s="19">
        <f>B6/B7</f>
        <v/>
      </c>
    </row>
    <row r="9">
      <c r="A9" t="inlineStr">
        <is>
          <t>Less: Selling Costs:</t>
        </is>
      </c>
      <c r="B9" s="19">
        <f>B8*Inputs!B73</f>
        <v/>
      </c>
    </row>
    <row r="10">
      <c r="A10" t="inlineStr">
        <is>
          <t>Less: Loan Balance:</t>
        </is>
      </c>
      <c r="B10" s="7">
        <f>'Cash Flow Analysis'!B9</f>
        <v/>
      </c>
    </row>
    <row r="12">
      <c r="A12" t="inlineStr">
        <is>
          <t>Net Sale Proceeds to Equity:</t>
        </is>
      </c>
      <c r="B12" s="19">
        <f>B8-B9-B10</f>
        <v/>
      </c>
    </row>
    <row r="14">
      <c r="A14" s="2" t="inlineStr">
        <is>
          <t>EXIT VALUE SUMMARY</t>
        </is>
      </c>
    </row>
    <row r="15">
      <c r="A15" t="inlineStr">
        <is>
          <t>Gross Exit Value:</t>
        </is>
      </c>
      <c r="B15" s="7">
        <f>B8</f>
        <v/>
      </c>
    </row>
    <row r="16">
      <c r="A16" t="inlineStr">
        <is>
          <t>Exit Cap Rate:</t>
        </is>
      </c>
      <c r="B16" s="6">
        <f>B7</f>
        <v/>
      </c>
    </row>
    <row r="18">
      <c r="A18" s="2" t="inlineStr">
        <is>
          <t>RETURN METRICS</t>
        </is>
      </c>
    </row>
    <row r="20">
      <c r="A20" t="inlineStr">
        <is>
          <t>Levered IRR:</t>
        </is>
      </c>
      <c r="B20" s="8">
        <f>IRR('Cash Flow Analysis'!B32:L32)</f>
        <v/>
      </c>
    </row>
    <row r="21">
      <c r="A21" t="inlineStr">
        <is>
          <t>Equity Multiple:</t>
        </is>
      </c>
      <c r="B21" s="23">
        <f>(SUM('Cash Flow Analysis'!C32:K32)+B12)/ABS('Cash Flow Analysis'!B32)</f>
        <v/>
      </c>
    </row>
    <row r="23">
      <c r="A23" t="inlineStr">
        <is>
          <t>Total Equity Invested:</t>
        </is>
      </c>
      <c r="B23" s="7">
        <f>ABS('Cash Flow Analysis'!B32)</f>
        <v/>
      </c>
    </row>
    <row r="24">
      <c r="A24" t="inlineStr">
        <is>
          <t>Total Cash Distributed:</t>
        </is>
      </c>
      <c r="B24" s="19">
        <f>SUM('Cash Flow Analysis'!C32:K32)+B12</f>
        <v/>
      </c>
    </row>
    <row r="26">
      <c r="A26" s="2" t="inlineStr">
        <is>
          <t>Investment Performance</t>
        </is>
      </c>
    </row>
    <row r="27">
      <c r="A27" t="inlineStr">
        <is>
          <t>Year 1 Yield on Cost:</t>
        </is>
      </c>
      <c r="B27" s="8">
        <f>'Pro Forma'!C76/Inputs!B60</f>
        <v/>
      </c>
    </row>
    <row r="28">
      <c r="A28" t="inlineStr">
        <is>
          <t>Stabilized Yield on Cost (Year 2):</t>
        </is>
      </c>
      <c r="B28" s="8">
        <f>'Pro Forma'!D76/Inputs!B60</f>
        <v/>
      </c>
    </row>
    <row r="29">
      <c r="A29" t="inlineStr">
        <is>
          <t>Cash-on-Cash Return (Year 2):</t>
        </is>
      </c>
      <c r="B29" s="8">
        <f>'Cash Flow Analysis'!D25/'Cash Flow Analysis'!B8</f>
        <v/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0" t="inlineStr">
        <is>
          <t>HOTEL SEGMENT BENCHMARKS - INDUSTRY DATA</t>
        </is>
      </c>
    </row>
    <row r="2">
      <c r="A2" s="24" t="inlineStr">
        <is>
          <t>Source: STR, HVS, CBRE Hotels Research, 2024 Data</t>
        </is>
      </c>
    </row>
    <row r="4">
      <c r="A4" s="14" t="inlineStr">
        <is>
          <t>Metric</t>
        </is>
      </c>
      <c r="B4" s="14" t="inlineStr">
        <is>
          <t>Luxury</t>
        </is>
      </c>
      <c r="C4" s="14" t="inlineStr">
        <is>
          <t>Upper Upscale</t>
        </is>
      </c>
      <c r="D4" s="14" t="inlineStr">
        <is>
          <t>Upscale</t>
        </is>
      </c>
      <c r="E4" s="14" t="inlineStr">
        <is>
          <t>Midscale</t>
        </is>
      </c>
      <c r="F4" s="14" t="inlineStr">
        <is>
          <t>Economy</t>
        </is>
      </c>
    </row>
    <row r="6">
      <c r="A6" s="2" t="inlineStr">
        <is>
          <t>RATE &amp; OCCUPANCY BENCHMARKS</t>
        </is>
      </c>
    </row>
    <row r="7">
      <c r="A7" t="inlineStr">
        <is>
          <t>Typical ADR Range ($):</t>
        </is>
      </c>
      <c r="B7" t="inlineStr">
        <is>
          <t>$300-$500</t>
        </is>
      </c>
      <c r="C7" t="inlineStr">
        <is>
          <t>$200-$300</t>
        </is>
      </c>
      <c r="D7" t="inlineStr">
        <is>
          <t>$120-$200</t>
        </is>
      </c>
      <c r="E7" t="inlineStr">
        <is>
          <t>$70-$120</t>
        </is>
      </c>
      <c r="F7" t="inlineStr">
        <is>
          <t>$50-$90</t>
        </is>
      </c>
    </row>
    <row r="8">
      <c r="A8" t="inlineStr">
        <is>
          <t>Typical Occupancy:</t>
        </is>
      </c>
      <c r="B8" t="inlineStr">
        <is>
          <t>68-75%</t>
        </is>
      </c>
      <c r="C8" t="inlineStr">
        <is>
          <t>68-72%</t>
        </is>
      </c>
      <c r="D8" t="inlineStr">
        <is>
          <t>68-72%</t>
        </is>
      </c>
      <c r="E8" t="inlineStr">
        <is>
          <t>58-65%</t>
        </is>
      </c>
      <c r="F8" t="inlineStr">
        <is>
          <t>55-63%</t>
        </is>
      </c>
    </row>
    <row r="9">
      <c r="A9" t="inlineStr">
        <is>
          <t>RevPAR Range ($):</t>
        </is>
      </c>
      <c r="B9" t="inlineStr">
        <is>
          <t>$200-$375</t>
        </is>
      </c>
      <c r="C9" t="inlineStr">
        <is>
          <t>$135-$215</t>
        </is>
      </c>
      <c r="D9" t="inlineStr">
        <is>
          <t>$80-$145</t>
        </is>
      </c>
      <c r="E9" t="inlineStr">
        <is>
          <t>$40-$75</t>
        </is>
      </c>
      <c r="F9" t="inlineStr">
        <is>
          <t>$30-$55</t>
        </is>
      </c>
    </row>
    <row r="11">
      <c r="A11" s="2" t="inlineStr">
        <is>
          <t>REVENUE MIX</t>
        </is>
      </c>
    </row>
    <row r="12">
      <c r="A12" t="inlineStr">
        <is>
          <t>Rooms % of Total Revenue:</t>
        </is>
      </c>
      <c r="B12" t="inlineStr">
        <is>
          <t>55-65%</t>
        </is>
      </c>
      <c r="C12" t="inlineStr">
        <is>
          <t>60-70%</t>
        </is>
      </c>
      <c r="D12" t="inlineStr">
        <is>
          <t>65-75%</t>
        </is>
      </c>
      <c r="E12" t="inlineStr">
        <is>
          <t>75-85%</t>
        </is>
      </c>
      <c r="F12" t="inlineStr">
        <is>
          <t>85-95%</t>
        </is>
      </c>
    </row>
    <row r="13">
      <c r="A13" t="inlineStr">
        <is>
          <t>F&amp;B % of Total Revenue:</t>
        </is>
      </c>
      <c r="B13" t="inlineStr">
        <is>
          <t>25-35%</t>
        </is>
      </c>
      <c r="C13" t="inlineStr">
        <is>
          <t>20-30%</t>
        </is>
      </c>
      <c r="D13" t="inlineStr">
        <is>
          <t>15-25%</t>
        </is>
      </c>
      <c r="E13" t="inlineStr">
        <is>
          <t>8-15%</t>
        </is>
      </c>
      <c r="F13" t="inlineStr">
        <is>
          <t>0-5%</t>
        </is>
      </c>
    </row>
    <row r="14">
      <c r="A14" t="inlineStr">
        <is>
          <t>Other % of Total Revenue:</t>
        </is>
      </c>
      <c r="B14" t="inlineStr">
        <is>
          <t>5-10%</t>
        </is>
      </c>
      <c r="C14" t="inlineStr">
        <is>
          <t>5-10%</t>
        </is>
      </c>
      <c r="D14" t="inlineStr">
        <is>
          <t>5-10%</t>
        </is>
      </c>
      <c r="E14" t="inlineStr">
        <is>
          <t>5-10%</t>
        </is>
      </c>
      <c r="F14" t="inlineStr">
        <is>
          <t>5-10%</t>
        </is>
      </c>
    </row>
    <row r="16">
      <c r="A16" s="2" t="inlineStr">
        <is>
          <t>OPERATING MARGINS</t>
        </is>
      </c>
    </row>
    <row r="17">
      <c r="A17" t="inlineStr">
        <is>
          <t>Rooms Dept OpEx (% of rooms revenue):</t>
        </is>
      </c>
      <c r="B17" t="inlineStr">
        <is>
          <t>30-35%</t>
        </is>
      </c>
      <c r="C17" t="inlineStr">
        <is>
          <t>25-30%</t>
        </is>
      </c>
      <c r="D17" t="inlineStr">
        <is>
          <t>22-27%</t>
        </is>
      </c>
      <c r="E17" t="inlineStr">
        <is>
          <t>20-25%</t>
        </is>
      </c>
      <c r="F17" t="inlineStr">
        <is>
          <t>18-22%</t>
        </is>
      </c>
    </row>
    <row r="18">
      <c r="A18" t="inlineStr">
        <is>
          <t>F&amp;B Dept OpEx (% of F&amp;B revenue):</t>
        </is>
      </c>
      <c r="B18" t="inlineStr">
        <is>
          <t>65-75%</t>
        </is>
      </c>
      <c r="C18" t="inlineStr">
        <is>
          <t>65-72%</t>
        </is>
      </c>
      <c r="D18" t="inlineStr">
        <is>
          <t>65-70%</t>
        </is>
      </c>
      <c r="E18" t="inlineStr">
        <is>
          <t>60-68%</t>
        </is>
      </c>
      <c r="F18" t="inlineStr">
        <is>
          <t>N/A</t>
        </is>
      </c>
    </row>
    <row r="19">
      <c r="A19" t="inlineStr">
        <is>
          <t>GOP Margin:</t>
        </is>
      </c>
      <c r="B19" t="inlineStr">
        <is>
          <t>35-45%</t>
        </is>
      </c>
      <c r="C19" t="inlineStr">
        <is>
          <t>35-42%</t>
        </is>
      </c>
      <c r="D19" t="inlineStr">
        <is>
          <t>30-40%</t>
        </is>
      </c>
      <c r="E19" t="inlineStr">
        <is>
          <t>25-35%</t>
        </is>
      </c>
      <c r="F19" t="inlineStr">
        <is>
          <t>20-30%</t>
        </is>
      </c>
    </row>
    <row r="20">
      <c r="A20" t="inlineStr">
        <is>
          <t>Net Profit Margin:</t>
        </is>
      </c>
      <c r="B20" t="inlineStr">
        <is>
          <t>25-35%</t>
        </is>
      </c>
      <c r="C20" t="inlineStr">
        <is>
          <t>20-30%</t>
        </is>
      </c>
      <c r="D20" t="inlineStr">
        <is>
          <t>15-25%</t>
        </is>
      </c>
      <c r="E20" t="inlineStr">
        <is>
          <t>10-20%</t>
        </is>
      </c>
      <c r="F20" t="inlineStr">
        <is>
          <t>5-15%</t>
        </is>
      </c>
    </row>
    <row r="22">
      <c r="A22" s="2" t="inlineStr">
        <is>
          <t>DEVELOPMENT COSTS</t>
        </is>
      </c>
    </row>
    <row r="23">
      <c r="A23" t="inlineStr">
        <is>
          <t>Construction Cost per Room:</t>
        </is>
      </c>
      <c r="B23" t="inlineStr">
        <is>
          <t>$500k-$1M+</t>
        </is>
      </c>
      <c r="C23" t="inlineStr">
        <is>
          <t>$350k-$500k</t>
        </is>
      </c>
      <c r="D23" t="inlineStr">
        <is>
          <t>$250k-$350k</t>
        </is>
      </c>
      <c r="E23" t="inlineStr">
        <is>
          <t>$150k-$250k</t>
        </is>
      </c>
      <c r="F23" t="inlineStr">
        <is>
          <t>$80k-$150k</t>
        </is>
      </c>
    </row>
    <row r="24">
      <c r="A24" t="inlineStr">
        <is>
          <t>FF&amp;E per Room:</t>
        </is>
      </c>
      <c r="B24" t="inlineStr">
        <is>
          <t>$35k-$75k</t>
        </is>
      </c>
      <c r="C24" t="inlineStr">
        <is>
          <t>$25k-$40k</t>
        </is>
      </c>
      <c r="D24" t="inlineStr">
        <is>
          <t>$15k-$25k</t>
        </is>
      </c>
      <c r="E24" t="inlineStr">
        <is>
          <t>$10k-$15k</t>
        </is>
      </c>
      <c r="F24" t="inlineStr">
        <is>
          <t>$5k-$10k</t>
        </is>
      </c>
    </row>
    <row r="25">
      <c r="A25" t="inlineStr">
        <is>
          <t>Typical Room Size (SF):</t>
        </is>
      </c>
      <c r="B25" t="inlineStr">
        <is>
          <t>500-700</t>
        </is>
      </c>
      <c r="C25" t="inlineStr">
        <is>
          <t>450-550</t>
        </is>
      </c>
      <c r="D25" t="inlineStr">
        <is>
          <t>400-450</t>
        </is>
      </c>
      <c r="E25" t="inlineStr">
        <is>
          <t>300-400</t>
        </is>
      </c>
      <c r="F25" t="inlineStr">
        <is>
          <t>250-350</t>
        </is>
      </c>
    </row>
    <row r="27">
      <c r="A27" s="2" t="inlineStr">
        <is>
          <t>FRANCHISE/BRAND FEES</t>
        </is>
      </c>
    </row>
    <row r="28">
      <c r="A28" t="inlineStr">
        <is>
          <t>Typical Royalty Fee:</t>
        </is>
      </c>
      <c r="B28" t="inlineStr">
        <is>
          <t>4-6%</t>
        </is>
      </c>
      <c r="C28" t="inlineStr">
        <is>
          <t>4-6%</t>
        </is>
      </c>
      <c r="D28" t="inlineStr">
        <is>
          <t>4-5%</t>
        </is>
      </c>
      <c r="E28" t="inlineStr">
        <is>
          <t>4-5%</t>
        </is>
      </c>
      <c r="F28" t="inlineStr">
        <is>
          <t>4-5%</t>
        </is>
      </c>
    </row>
    <row r="29">
      <c r="A29" t="inlineStr">
        <is>
          <t>Marketing/Reservation Fee:</t>
        </is>
      </c>
      <c r="B29" t="inlineStr">
        <is>
          <t>2-4%</t>
        </is>
      </c>
      <c r="C29" t="inlineStr">
        <is>
          <t>2-4%</t>
        </is>
      </c>
      <c r="D29" t="inlineStr">
        <is>
          <t>2-3%</t>
        </is>
      </c>
      <c r="E29" t="inlineStr">
        <is>
          <t>2-3%</t>
        </is>
      </c>
      <c r="F29" t="inlineStr">
        <is>
          <t>2-3%</t>
        </is>
      </c>
    </row>
    <row r="30">
      <c r="A30" t="inlineStr">
        <is>
          <t>Total Brand Fees (% rooms revenue):</t>
        </is>
      </c>
      <c r="B30" t="inlineStr">
        <is>
          <t>6-10%</t>
        </is>
      </c>
      <c r="C30" t="inlineStr">
        <is>
          <t>6-10%</t>
        </is>
      </c>
      <c r="D30" t="inlineStr">
        <is>
          <t>6-8%</t>
        </is>
      </c>
      <c r="E30" t="inlineStr">
        <is>
          <t>6-8%</t>
        </is>
      </c>
      <c r="F30" t="inlineStr">
        <is>
          <t>6-8%</t>
        </is>
      </c>
    </row>
    <row r="32">
      <c r="A32" s="2" t="inlineStr">
        <is>
          <t>F&amp;B OPERATIONS (Full-Service Hotels)</t>
        </is>
      </c>
    </row>
    <row r="33">
      <c r="A33" t="inlineStr">
        <is>
          <t>Outlet Revenue per Room per Day:</t>
        </is>
      </c>
      <c r="B33" t="inlineStr">
        <is>
          <t>$50-$80</t>
        </is>
      </c>
      <c r="C33" t="inlineStr">
        <is>
          <t>$35-$50</t>
        </is>
      </c>
      <c r="D33" t="inlineStr">
        <is>
          <t>$25-$40</t>
        </is>
      </c>
      <c r="E33" t="inlineStr">
        <is>
          <t>$15-$25</t>
        </is>
      </c>
      <c r="F33" t="inlineStr">
        <is>
          <t>N/A</t>
        </is>
      </c>
    </row>
    <row r="34">
      <c r="A34" t="inlineStr">
        <is>
          <t>Banquet Revenue per Group Room Night:</t>
        </is>
      </c>
      <c r="B34" t="inlineStr">
        <is>
          <t>$150-$200</t>
        </is>
      </c>
      <c r="C34" t="inlineStr">
        <is>
          <t>$90-$120</t>
        </is>
      </c>
      <c r="D34" t="inlineStr">
        <is>
          <t>$50-$80</t>
        </is>
      </c>
      <c r="E34" t="inlineStr">
        <is>
          <t>$30-$50</t>
        </is>
      </c>
      <c r="F34" t="inlineStr">
        <is>
          <t>N/A</t>
        </is>
      </c>
    </row>
    <row r="35">
      <c r="A35" t="inlineStr">
        <is>
          <t>Meeting Space (SF per Room):</t>
        </is>
      </c>
      <c r="B35" t="inlineStr">
        <is>
          <t>30-60</t>
        </is>
      </c>
      <c r="C35" t="inlineStr">
        <is>
          <t>25-40</t>
        </is>
      </c>
      <c r="D35" t="inlineStr">
        <is>
          <t>15-30</t>
        </is>
      </c>
      <c r="E35" t="inlineStr">
        <is>
          <t>5-15</t>
        </is>
      </c>
      <c r="F35" t="inlineStr">
        <is>
          <t>0-5</t>
        </is>
      </c>
    </row>
    <row r="37">
      <c r="A37" s="2" t="inlineStr">
        <is>
          <t>KEY FINANCIAL RATIOS</t>
        </is>
      </c>
    </row>
    <row r="38">
      <c r="A38" t="inlineStr">
        <is>
          <t>Labor Cost % of Revenue:</t>
        </is>
      </c>
      <c r="B38" t="inlineStr">
        <is>
          <t>32-40%</t>
        </is>
      </c>
      <c r="C38" t="inlineStr">
        <is>
          <t>30-36%</t>
        </is>
      </c>
      <c r="D38" t="inlineStr">
        <is>
          <t>28-34%</t>
        </is>
      </c>
      <c r="E38" t="inlineStr">
        <is>
          <t>25-30%</t>
        </is>
      </c>
      <c r="F38" t="inlineStr">
        <is>
          <t>20-28%</t>
        </is>
      </c>
    </row>
    <row r="39">
      <c r="A39" t="inlineStr">
        <is>
          <t>Flow-Through (incremental):</t>
        </is>
      </c>
      <c r="B39" t="inlineStr">
        <is>
          <t>35-45%</t>
        </is>
      </c>
      <c r="C39" t="inlineStr">
        <is>
          <t>40-50%</t>
        </is>
      </c>
      <c r="D39" t="inlineStr">
        <is>
          <t>45-55%</t>
        </is>
      </c>
      <c r="E39" t="inlineStr">
        <is>
          <t>50-60%</t>
        </is>
      </c>
      <c r="F39" t="inlineStr">
        <is>
          <t>55-65%</t>
        </is>
      </c>
    </row>
    <row r="40">
      <c r="A40" t="inlineStr">
        <is>
          <t>Typical Exit Cap Rate:</t>
        </is>
      </c>
      <c r="B40" t="inlineStr">
        <is>
          <t>6.0-7.5%</t>
        </is>
      </c>
      <c r="C40" t="inlineStr">
        <is>
          <t>6.5-7.5%</t>
        </is>
      </c>
      <c r="D40" t="inlineStr">
        <is>
          <t>7.0-8.0%</t>
        </is>
      </c>
      <c r="E40" t="inlineStr">
        <is>
          <t>7.5-8.5%</t>
        </is>
      </c>
      <c r="F40" t="inlineStr">
        <is>
          <t>8.0-9.0%</t>
        </is>
      </c>
    </row>
    <row r="42">
      <c r="A42" s="2" t="inlineStr">
        <is>
          <t>MAJOR BRANDS IN SEGMENT</t>
        </is>
      </c>
    </row>
    <row r="43" ht="60" customHeight="1">
      <c r="A43" t="inlineStr">
        <is>
          <t>Example Brands:</t>
        </is>
      </c>
      <c r="B43" s="25" t="inlineStr">
        <is>
          <t>Ritz-Carlton
Four Seasons
St. Regis
Waldorf Astoria</t>
        </is>
      </c>
      <c r="C43" s="25" t="inlineStr">
        <is>
          <t>Marriott
Hilton
Hyatt Regency
Westin</t>
        </is>
      </c>
      <c r="D43" s="25" t="inlineStr">
        <is>
          <t>Courtyard
Hilton Garden Inn
Hyatt Place
Aloft</t>
        </is>
      </c>
      <c r="E43" s="25" t="inlineStr">
        <is>
          <t>Hampton Inn
Fairfield Inn
Holiday Inn Express
Comfort Inn</t>
        </is>
      </c>
      <c r="F43" s="25" t="inlineStr">
        <is>
          <t>Super 8
Days Inn
Motel 6
Red Roof Inn</t>
        </is>
      </c>
    </row>
    <row r="45">
      <c r="A45" s="2" t="inlineStr">
        <is>
          <t>NOTES:</t>
        </is>
      </c>
    </row>
    <row r="46" ht="120" customHeight="1">
      <c r="A46" s="25" t="inlineStr">
        <is>
          <t>• All percentages and ranges based on 2024 industry data from STR, HVS, CBRE
• ADR varies significantly by market (NYC vs. secondary markets)
• Occupancy influenced by location, season, brand strength
• GOP margins highest in upper segments due to pricing power
• Labor costs are typically 50-65% of total operating expenses
• F&amp;B operations have lower margins but drive ancillary revenue
• Development costs vary by market (urban vs. suburban)
• Exit cap rates inversely correlated with property quality</t>
        </is>
      </c>
    </row>
    <row r="47"/>
    <row r="48"/>
    <row r="49"/>
    <row r="50"/>
  </sheetData>
  <mergeCells count="2">
    <mergeCell ref="A46:F5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2025-11-03T23:02:56Z</dcterms:created>
  <dcterms:modified xmlns:dcterms="http://purl.org/dc/terms/" xmlns:xsi="http://www.w3.org/2001/XMLSchema-instance" xsi:type="dcterms:W3CDTF">2025-11-03T23:06:22Z</dcterms:modified>
</cp:coreProperties>
</file>