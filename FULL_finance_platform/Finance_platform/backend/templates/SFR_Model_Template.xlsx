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Inputs &amp; Assumptions" sheetId="2" state="visible" r:id="rId4"/>
    <sheet name="Acquisition Analysis" sheetId="3" state="visible" r:id="rId5"/>
    <sheet name="10-Year Cash Flow" sheetId="4" state="visible" r:id="rId6"/>
    <sheet name="BRRRR Scenario" sheetId="5" state="visible" r:id="rId7"/>
    <sheet name="Exit Strategies" sheetId="6" state="visible" r:id="rId8"/>
    <sheet name="Sensitivity Analysis" sheetId="7" state="visible" r:id="rId9"/>
    <sheet name="Tax Benefits" sheetId="8" state="visible" r:id="rId10"/>
    <sheet name="Portfolio Scali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<sst xmlns="http://schemas.openxmlformats.org/spreadsheetml/2006/main" count="435" uniqueCount="367">
  <si>
    <t xml:space="preserve">SINGLE-FAMILY RENTAL ANALYSIS</t>
  </si>
  <si>
    <t xml:space="preserve">Buy &amp; Hold Investment Model</t>
  </si>
  <si>
    <t xml:space="preserve">PROPERTY INFORMATION</t>
  </si>
  <si>
    <t xml:space="preserve">Address:</t>
  </si>
  <si>
    <t xml:space="preserve">Property Type:</t>
  </si>
  <si>
    <t xml:space="preserve">Square Footage:</t>
  </si>
  <si>
    <t xml:space="preserve">Bedrooms / Bathrooms:</t>
  </si>
  <si>
    <t xml:space="preserve">ACQUISITION SUMMARY</t>
  </si>
  <si>
    <t xml:space="preserve">RETURN METRICS</t>
  </si>
  <si>
    <t xml:space="preserve">Purchase Price:</t>
  </si>
  <si>
    <t xml:space="preserve">Year 1 Cash Flow:</t>
  </si>
  <si>
    <t xml:space="preserve">Renovation Cost:</t>
  </si>
  <si>
    <t xml:space="preserve">Year 1 Cash-on-Cash:</t>
  </si>
  <si>
    <t xml:space="preserve">All-In Cost:</t>
  </si>
  <si>
    <t xml:space="preserve">10-Year IRR:</t>
  </si>
  <si>
    <t xml:space="preserve">After Repair Value (ARV):</t>
  </si>
  <si>
    <t xml:space="preserve">Equity Multiple:</t>
  </si>
  <si>
    <t xml:space="preserve">Initial Equity:</t>
  </si>
  <si>
    <t xml:space="preserve">Total 10-Yr Profit:</t>
  </si>
  <si>
    <t xml:space="preserve">YEAR 1 MONTHLY CASH FLOW</t>
  </si>
  <si>
    <t xml:space="preserve">KEY METRICS</t>
  </si>
  <si>
    <t xml:space="preserve">Gross Monthly Rent:</t>
  </si>
  <si>
    <t xml:space="preserve">Metric</t>
  </si>
  <si>
    <t xml:space="preserve">Value</t>
  </si>
  <si>
    <t xml:space="preserve">Target</t>
  </si>
  <si>
    <t xml:space="preserve">Status</t>
  </si>
  <si>
    <t xml:space="preserve">Vacancy Loss (5%):</t>
  </si>
  <si>
    <t xml:space="preserve">Cap Rate (Cash)</t>
  </si>
  <si>
    <t xml:space="preserve">7.0%</t>
  </si>
  <si>
    <t xml:space="preserve">Effective Gross Income:</t>
  </si>
  <si>
    <t xml:space="preserve">1% Rule</t>
  </si>
  <si>
    <t xml:space="preserve">1.0%</t>
  </si>
  <si>
    <t xml:space="preserve">Operating Expenses:</t>
  </si>
  <si>
    <t xml:space="preserve">Cash-on-Cash</t>
  </si>
  <si>
    <t xml:space="preserve">10.0%</t>
  </si>
  <si>
    <t xml:space="preserve">Net Operating Income:</t>
  </si>
  <si>
    <t xml:space="preserve">DSCR</t>
  </si>
  <si>
    <t xml:space="preserve">1.25</t>
  </si>
  <si>
    <t xml:space="preserve">Debt Service:</t>
  </si>
  <si>
    <t xml:space="preserve">Net Cash Flow:</t>
  </si>
  <si>
    <t xml:space="preserve">EXIT STRATEGY COMPARISON</t>
  </si>
  <si>
    <t xml:space="preserve">Strategy</t>
  </si>
  <si>
    <t xml:space="preserve">Timeline</t>
  </si>
  <si>
    <t xml:space="preserve">Cash Out</t>
  </si>
  <si>
    <t xml:space="preserve">Monthly Income</t>
  </si>
  <si>
    <t xml:space="preserve">Total Return</t>
  </si>
  <si>
    <t xml:space="preserve">IRR</t>
  </si>
  <si>
    <t xml:space="preserve">Flip (Traditional)</t>
  </si>
  <si>
    <t xml:space="preserve">6 months</t>
  </si>
  <si>
    <t xml:space="preserve">$0</t>
  </si>
  <si>
    <t xml:space="preserve">BRRRR (Refinance)</t>
  </si>
  <si>
    <t xml:space="preserve">9 months</t>
  </si>
  <si>
    <t xml:space="preserve">Hold 10 Years</t>
  </si>
  <si>
    <t xml:space="preserve">10 years</t>
  </si>
  <si>
    <t xml:space="preserve">Hold Forever</t>
  </si>
  <si>
    <t xml:space="preserve">Indefinite</t>
  </si>
  <si>
    <t xml:space="preserve">Ongoing</t>
  </si>
  <si>
    <t xml:space="preserve">INPUTS &amp; ASSUMPTIONS</t>
  </si>
  <si>
    <t xml:space="preserve">Single-Family Rental Model - All user inputs are in BLUE</t>
  </si>
  <si>
    <t xml:space="preserve">123 Main Street, Anytown, USA</t>
  </si>
  <si>
    <t xml:space="preserve">Single-Family Residence</t>
  </si>
  <si>
    <t xml:space="preserve">Bedrooms:</t>
  </si>
  <si>
    <t xml:space="preserve">Bathrooms:</t>
  </si>
  <si>
    <t xml:space="preserve">Year Built:</t>
  </si>
  <si>
    <t xml:space="preserve">ACQUISITION COSTS</t>
  </si>
  <si>
    <t xml:space="preserve">Closing Costs (% of purchase):</t>
  </si>
  <si>
    <t xml:space="preserve">Closing Costs ($):</t>
  </si>
  <si>
    <t xml:space="preserve">Inspection Cost:</t>
  </si>
  <si>
    <t xml:space="preserve">Other Due Diligence:</t>
  </si>
  <si>
    <t xml:space="preserve">RENOVATION BUDGET</t>
  </si>
  <si>
    <t xml:space="preserve">Estimated Renovation Cost:</t>
  </si>
  <si>
    <t xml:space="preserve">Contingency Reserve (%):</t>
  </si>
  <si>
    <t xml:space="preserve">Total Renovation Budget:</t>
  </si>
  <si>
    <t xml:space="preserve">AFTER REPAIR VALUE (ARV)</t>
  </si>
  <si>
    <t xml:space="preserve">Comp #1 Sale Price:</t>
  </si>
  <si>
    <t xml:space="preserve">Comp #2 Sale Price:</t>
  </si>
  <si>
    <t xml:space="preserve">Comp #3 Sale Price:</t>
  </si>
  <si>
    <t xml:space="preserve">Average ARV (Conservative):</t>
  </si>
  <si>
    <t xml:space="preserve">RENTAL MARKET ANALYSIS</t>
  </si>
  <si>
    <t xml:space="preserve">Comp Rent #1:</t>
  </si>
  <si>
    <t xml:space="preserve">Comp Rent #2:</t>
  </si>
  <si>
    <t xml:space="preserve">Comp Rent #3:</t>
  </si>
  <si>
    <t xml:space="preserve">Conservative Discount (%):</t>
  </si>
  <si>
    <t xml:space="preserve">Pro Forma Monthly Rent:</t>
  </si>
  <si>
    <t xml:space="preserve">OPERATING ASSUMPTIONS</t>
  </si>
  <si>
    <t xml:space="preserve">Vacancy Rate:</t>
  </si>
  <si>
    <t xml:space="preserve">Bad Debt / Credit Loss:</t>
  </si>
  <si>
    <t xml:space="preserve">Annual Property Taxes:</t>
  </si>
  <si>
    <t xml:space="preserve">Annual Insurance:</t>
  </si>
  <si>
    <t xml:space="preserve">Monthly HOA Dues:</t>
  </si>
  <si>
    <t xml:space="preserve">Property Management (% of rent):</t>
  </si>
  <si>
    <t xml:space="preserve">Monthly Repairs &amp; Maintenance:</t>
  </si>
  <si>
    <t xml:space="preserve">Monthly CapEx Reserve:</t>
  </si>
  <si>
    <t xml:space="preserve">Monthly Utilities (if owner-paid):</t>
  </si>
  <si>
    <t xml:space="preserve">Total Monthly Operating Expenses:</t>
  </si>
  <si>
    <t xml:space="preserve">Annual Operating Expenses:</t>
  </si>
  <si>
    <t xml:space="preserve">FINANCING SCENARIO</t>
  </si>
  <si>
    <t xml:space="preserve">Loan-to-Value (LTV):</t>
  </si>
  <si>
    <t xml:space="preserve">Loan Amount:</t>
  </si>
  <si>
    <t xml:space="preserve">Interest Rate (Annual):</t>
  </si>
  <si>
    <t xml:space="preserve">Loan Term (Years):</t>
  </si>
  <si>
    <t xml:space="preserve">Monthly Interest Rate:</t>
  </si>
  <si>
    <t xml:space="preserve">Number of Payments:</t>
  </si>
  <si>
    <t xml:space="preserve">Monthly Payment (P&amp;I):</t>
  </si>
  <si>
    <t xml:space="preserve">HOLD PERIOD &amp; GROWTH RATES</t>
  </si>
  <si>
    <t xml:space="preserve">Hold Period (Years):</t>
  </si>
  <si>
    <t xml:space="preserve">Annual Rent Growth:</t>
  </si>
  <si>
    <t xml:space="preserve">Annual Expense Growth:</t>
  </si>
  <si>
    <t xml:space="preserve">Annual Property Appreciation:</t>
  </si>
  <si>
    <t xml:space="preserve">EXIT STRATEGY</t>
  </si>
  <si>
    <t xml:space="preserve">Exit Year:</t>
  </si>
  <si>
    <t xml:space="preserve">Sales Commission (%):</t>
  </si>
  <si>
    <t xml:space="preserve">Closing Costs (% of sale):</t>
  </si>
  <si>
    <t xml:space="preserve">Capital Gains Tax Rate:</t>
  </si>
  <si>
    <t xml:space="preserve">Depreciation Recapture Rate:</t>
  </si>
  <si>
    <t xml:space="preserve">1031 Exchange:</t>
  </si>
  <si>
    <t xml:space="preserve">No</t>
  </si>
  <si>
    <t xml:space="preserve">TAX ASSUMPTIONS</t>
  </si>
  <si>
    <t xml:space="preserve">Land Value (% of property):</t>
  </si>
  <si>
    <t xml:space="preserve">Building Depreciable Basis:</t>
  </si>
  <si>
    <t xml:space="preserve">Depreciation Period (Years):</t>
  </si>
  <si>
    <t xml:space="preserve">Annual Depreciation:</t>
  </si>
  <si>
    <t xml:space="preserve">Tax Bracket:</t>
  </si>
  <si>
    <t xml:space="preserve">ACQUISITION ANALYSIS</t>
  </si>
  <si>
    <t xml:space="preserve">Deal Evaluation &amp; Key Metrics</t>
  </si>
  <si>
    <t xml:space="preserve">After Repair Value:</t>
  </si>
  <si>
    <t xml:space="preserve">TOTAL PROJECT COSTS</t>
  </si>
  <si>
    <t xml:space="preserve">Acquisition Closing Costs:</t>
  </si>
  <si>
    <t xml:space="preserve">Inspection:</t>
  </si>
  <si>
    <t xml:space="preserve">Due Diligence:</t>
  </si>
  <si>
    <t xml:space="preserve">Renovation Budget:</t>
  </si>
  <si>
    <t xml:space="preserve">Total Acquisition Costs:</t>
  </si>
  <si>
    <t xml:space="preserve">Down Payment (Cash Required):</t>
  </si>
  <si>
    <t xml:space="preserve">Equity in Property:</t>
  </si>
  <si>
    <t xml:space="preserve">RENTAL ANALYSIS (YEAR 1)</t>
  </si>
  <si>
    <t xml:space="preserve">Monthly Rent:</t>
  </si>
  <si>
    <t xml:space="preserve">1% Rule Test:</t>
  </si>
  <si>
    <t xml:space="preserve">Annual Gross Rent:</t>
  </si>
  <si>
    <t xml:space="preserve">Net Operating Income (NOI):</t>
  </si>
  <si>
    <t xml:space="preserve">Cap Rate (All-Cash):</t>
  </si>
  <si>
    <t xml:space="preserve">Cap Rate (Market):</t>
  </si>
  <si>
    <t xml:space="preserve">DEBT SERVICE COVERAGE</t>
  </si>
  <si>
    <t xml:space="preserve">Monthly Debt Service:</t>
  </si>
  <si>
    <t xml:space="preserve">Annual Debt Service:</t>
  </si>
  <si>
    <t xml:space="preserve">DSCR:</t>
  </si>
  <si>
    <t xml:space="preserve">CASH FLOW &amp; RETURNS</t>
  </si>
  <si>
    <t xml:space="preserve">Annual Cash Flow:</t>
  </si>
  <si>
    <t xml:space="preserve">Monthly Cash Flow:</t>
  </si>
  <si>
    <t xml:space="preserve">Cash-on-Cash Return:</t>
  </si>
  <si>
    <t xml:space="preserve">70% RULE CHECK (FLIP ALTERNATIVE)</t>
  </si>
  <si>
    <t xml:space="preserve">ARV × 70%:</t>
  </si>
  <si>
    <t xml:space="preserve">Less: Renovation Cost:</t>
  </si>
  <si>
    <t xml:space="preserve">Maximum Allowable Offer:</t>
  </si>
  <si>
    <t xml:space="preserve">Your Purchase Price:</t>
  </si>
  <si>
    <t xml:space="preserve">70% Rule Status:</t>
  </si>
  <si>
    <t xml:space="preserve">DETAILED METRICS</t>
  </si>
  <si>
    <t xml:space="preserve">Purchase Price per SF:</t>
  </si>
  <si>
    <t xml:space="preserve">ARV per SF:</t>
  </si>
  <si>
    <t xml:space="preserve">Monthly Rent per SF:</t>
  </si>
  <si>
    <t xml:space="preserve">GRM (Gross Rent Multiplier):</t>
  </si>
  <si>
    <t xml:space="preserve">Break-Even Occupancy:</t>
  </si>
  <si>
    <t xml:space="preserve">50% Rule Check:</t>
  </si>
  <si>
    <t xml:space="preserve">10-YEAR CASH FLOW PROJECTION</t>
  </si>
  <si>
    <t xml:space="preserve">Rental Income &amp; Expense Projections with Annual Growth</t>
  </si>
  <si>
    <t xml:space="preserve">Year</t>
  </si>
  <si>
    <t xml:space="preserve">Gross Rent</t>
  </si>
  <si>
    <t xml:space="preserve">Vacancy Loss</t>
  </si>
  <si>
    <t xml:space="preserve">Effective Income</t>
  </si>
  <si>
    <t xml:space="preserve">Operating Expenses</t>
  </si>
  <si>
    <t xml:space="preserve">NOI</t>
  </si>
  <si>
    <t xml:space="preserve">Debt Service</t>
  </si>
  <si>
    <t xml:space="preserve">Cash Flow Before Tax</t>
  </si>
  <si>
    <t xml:space="preserve">Cumulative CF</t>
  </si>
  <si>
    <t xml:space="preserve">Property Value</t>
  </si>
  <si>
    <t xml:space="preserve">EXIT ANALYSIS (Year 10)</t>
  </si>
  <si>
    <t xml:space="preserve">Property Value:</t>
  </si>
  <si>
    <t xml:space="preserve">Sales Commission (6%):</t>
  </si>
  <si>
    <t xml:space="preserve">Closing Costs (1.5%):</t>
  </si>
  <si>
    <t xml:space="preserve">Net Sales Proceeds:</t>
  </si>
  <si>
    <t xml:space="preserve">Loan Payoff:</t>
  </si>
  <si>
    <t xml:space="preserve">(Simplified - assumes no principal paydown)</t>
  </si>
  <si>
    <t xml:space="preserve">Cash to Seller:</t>
  </si>
  <si>
    <t xml:space="preserve">TAX CALCULATION</t>
  </si>
  <si>
    <t xml:space="preserve">Original Basis:</t>
  </si>
  <si>
    <t xml:space="preserve">Accumulated Depreciation:</t>
  </si>
  <si>
    <t xml:space="preserve">Adjusted Basis:</t>
  </si>
  <si>
    <t xml:space="preserve">Capital Gain:</t>
  </si>
  <si>
    <t xml:space="preserve">Capital Gains Tax (20%):</t>
  </si>
  <si>
    <t xml:space="preserve">Depreciation Recapture (25%):</t>
  </si>
  <si>
    <t xml:space="preserve">Total Tax:</t>
  </si>
  <si>
    <t xml:space="preserve">After-Tax Proceeds:</t>
  </si>
  <si>
    <t xml:space="preserve">KEY RETURN METRICS</t>
  </si>
  <si>
    <t xml:space="preserve">Total Cash Invested:</t>
  </si>
  <si>
    <t xml:space="preserve">Total Cash Flow (10 Years):</t>
  </si>
  <si>
    <t xml:space="preserve">After-Tax Exit Proceeds:</t>
  </si>
  <si>
    <t xml:space="preserve">Total Return:</t>
  </si>
  <si>
    <t xml:space="preserve">BRRRR REFINANCE STRATEGY</t>
  </si>
  <si>
    <t xml:space="preserve">Buy, Rehab, Rent, Refinance, Repeat</t>
  </si>
  <si>
    <t xml:space="preserve">INITIAL ACQUISITION (Hard Money)</t>
  </si>
  <si>
    <t xml:space="preserve">Acquisition Costs:</t>
  </si>
  <si>
    <t xml:space="preserve">Total Project Cost:</t>
  </si>
  <si>
    <t xml:space="preserve">Hard Money Loan (75% LTC):</t>
  </si>
  <si>
    <t xml:space="preserve">Hard Money Rate:</t>
  </si>
  <si>
    <t xml:space="preserve">Points (3%):</t>
  </si>
  <si>
    <t xml:space="preserve">Hold Period (Months):</t>
  </si>
  <si>
    <t xml:space="preserve">Interest Cost:</t>
  </si>
  <si>
    <t xml:space="preserve">Total Hard Money Cost:</t>
  </si>
  <si>
    <t xml:space="preserve">Cash Required:</t>
  </si>
  <si>
    <t xml:space="preserve">AFTER RENOVATION (Month 9)</t>
  </si>
  <si>
    <t xml:space="preserve">Stabilized Monthly Rent:</t>
  </si>
  <si>
    <t xml:space="preserve">Monthly NOI:</t>
  </si>
  <si>
    <t xml:space="preserve">REFINANCE</t>
  </si>
  <si>
    <t xml:space="preserve">Refinance LTV:</t>
  </si>
  <si>
    <t xml:space="preserve">New Loan Amount:</t>
  </si>
  <si>
    <t xml:space="preserve">Refinance Rate:</t>
  </si>
  <si>
    <t xml:space="preserve">Refinance Term (Years):</t>
  </si>
  <si>
    <t xml:space="preserve">New Monthly Payment:</t>
  </si>
  <si>
    <t xml:space="preserve">Refinance Closing Costs:</t>
  </si>
  <si>
    <t xml:space="preserve">Pay Off Hard Money Loan:</t>
  </si>
  <si>
    <t xml:space="preserve">Cash Out to Investor:</t>
  </si>
  <si>
    <t xml:space="preserve">BRRRR RESULTS</t>
  </si>
  <si>
    <t xml:space="preserve">Cash Returned via Refinance:</t>
  </si>
  <si>
    <t xml:space="preserve">Net Cash Left in Deal:</t>
  </si>
  <si>
    <t xml:space="preserve">New Loan Balance:</t>
  </si>
  <si>
    <t xml:space="preserve">Equity Position:</t>
  </si>
  <si>
    <t xml:space="preserve">Equity %:</t>
  </si>
  <si>
    <t xml:space="preserve">Post-Refinance Monthly Cash Flow:</t>
  </si>
  <si>
    <t xml:space="preserve">Infinite if all cash out!</t>
  </si>
  <si>
    <t xml:space="preserve">STRATEGY COMPARISON</t>
  </si>
  <si>
    <t xml:space="preserve">Traditional Purchase</t>
  </si>
  <si>
    <t xml:space="preserve">BRRRR Strategy</t>
  </si>
  <si>
    <t xml:space="preserve">Cash Required</t>
  </si>
  <si>
    <t xml:space="preserve">Cash Returned</t>
  </si>
  <si>
    <t xml:space="preserve">Net Cash in Deal</t>
  </si>
  <si>
    <t xml:space="preserve">Monthly Cash Flow</t>
  </si>
  <si>
    <t xml:space="preserve">Equity</t>
  </si>
  <si>
    <t xml:space="preserve">Cash-on-Cash Return</t>
  </si>
  <si>
    <t xml:space="preserve">Four Different Paths to Profit</t>
  </si>
  <si>
    <t xml:space="preserve">Flip (6mo)</t>
  </si>
  <si>
    <t xml:space="preserve">BRRRR (Refi)</t>
  </si>
  <si>
    <t xml:space="preserve">9 months + hold</t>
  </si>
  <si>
    <t xml:space="preserve">Cash Out at Exit</t>
  </si>
  <si>
    <t xml:space="preserve">17%</t>
  </si>
  <si>
    <t xml:space="preserve">12%+</t>
  </si>
  <si>
    <t xml:space="preserve">Capital Efficiency</t>
  </si>
  <si>
    <t xml:space="preserve">Low</t>
  </si>
  <si>
    <t xml:space="preserve">High</t>
  </si>
  <si>
    <t xml:space="preserve">Medium</t>
  </si>
  <si>
    <t xml:space="preserve">Complexity</t>
  </si>
  <si>
    <t xml:space="preserve">BEST FOR:</t>
  </si>
  <si>
    <t xml:space="preserve">Flip:</t>
  </si>
  <si>
    <t xml:space="preserve">✓ Need capital quickly</t>
  </si>
  <si>
    <t xml:space="preserve">✓ Strong buyer market</t>
  </si>
  <si>
    <t xml:space="preserve">✓ Simple exit strategy</t>
  </si>
  <si>
    <t xml:space="preserve">BRRRR:</t>
  </si>
  <si>
    <t xml:space="preserve">✓ Want to scale portfolio</t>
  </si>
  <si>
    <t xml:space="preserve">✓ Recycle capital fast</t>
  </si>
  <si>
    <t xml:space="preserve">✓ Build rental portfolio</t>
  </si>
  <si>
    <t xml:space="preserve">Hold 10 Years:</t>
  </si>
  <si>
    <t xml:space="preserve">✓ High IRR target</t>
  </si>
  <si>
    <t xml:space="preserve">✓ Tax-efficient exit</t>
  </si>
  <si>
    <t xml:space="preserve">✓ Strong appreciation</t>
  </si>
  <si>
    <t xml:space="preserve">Hold Forever:</t>
  </si>
  <si>
    <t xml:space="preserve">✓ Passive income goal</t>
  </si>
  <si>
    <t xml:space="preserve">✓ Don't need capital</t>
  </si>
  <si>
    <t xml:space="preserve">✓ Legacy building</t>
  </si>
  <si>
    <t xml:space="preserve">SENSITIVITY ANALYSIS</t>
  </si>
  <si>
    <t xml:space="preserve">Test Key Variables to Understand Risk &amp; Upside</t>
  </si>
  <si>
    <t xml:space="preserve">SENSITIVITY TO MONTHLY RENT</t>
  </si>
  <si>
    <t xml:space="preserve">Base Monthly Rent:</t>
  </si>
  <si>
    <t xml:space="preserve">Change</t>
  </si>
  <si>
    <t xml:space="preserve">-10%</t>
  </si>
  <si>
    <t xml:space="preserve">-5%</t>
  </si>
  <si>
    <t xml:space="preserve">Base</t>
  </si>
  <si>
    <t xml:space="preserve">+5%</t>
  </si>
  <si>
    <t xml:space="preserve">+10%</t>
  </si>
  <si>
    <t xml:space="preserve">Monthly Rent</t>
  </si>
  <si>
    <t xml:space="preserve">Annual NOI</t>
  </si>
  <si>
    <t xml:space="preserve">SENSITIVITY TO PROPERTY APPRECIATION</t>
  </si>
  <si>
    <t xml:space="preserve">Base Annual Appreciation:</t>
  </si>
  <si>
    <t xml:space="preserve">Appreciation</t>
  </si>
  <si>
    <t xml:space="preserve">2.0%</t>
  </si>
  <si>
    <t xml:space="preserve">3.0%</t>
  </si>
  <si>
    <t xml:space="preserve">4.0%</t>
  </si>
  <si>
    <t xml:space="preserve">5.0%</t>
  </si>
  <si>
    <t xml:space="preserve">6.0%</t>
  </si>
  <si>
    <t xml:space="preserve">Year 10 Value</t>
  </si>
  <si>
    <t xml:space="preserve">Total Equity</t>
  </si>
  <si>
    <t xml:space="preserve">Equity Multiple</t>
  </si>
  <si>
    <t xml:space="preserve">SENSITIVITY TO INTEREST RATES</t>
  </si>
  <si>
    <t xml:space="preserve">Base Interest Rate:</t>
  </si>
  <si>
    <t xml:space="preserve">Interest Rate</t>
  </si>
  <si>
    <t xml:space="preserve">6.5%</t>
  </si>
  <si>
    <t xml:space="preserve">7.5%</t>
  </si>
  <si>
    <t xml:space="preserve">8.0%</t>
  </si>
  <si>
    <t xml:space="preserve">8.5%</t>
  </si>
  <si>
    <t xml:space="preserve">Monthly Payment</t>
  </si>
  <si>
    <t xml:space="preserve">WORST CASE SCENARIO</t>
  </si>
  <si>
    <t xml:space="preserve">Assumptions:</t>
  </si>
  <si>
    <t xml:space="preserve">• Rent: -10% below market</t>
  </si>
  <si>
    <t xml:space="preserve">• Vacancy: 15% (vs 5% base)</t>
  </si>
  <si>
    <t xml:space="preserve">• Expenses: +25% above base</t>
  </si>
  <si>
    <t xml:space="preserve">• Appreciation: 2% (vs 4% base)</t>
  </si>
  <si>
    <t xml:space="preserve">Monthly Rent (Low):</t>
  </si>
  <si>
    <t xml:space="preserve">Effective Income (85%):</t>
  </si>
  <si>
    <t xml:space="preserve">Operating Expenses (+25%):</t>
  </si>
  <si>
    <t xml:space="preserve">NOI (Worst Case):</t>
  </si>
  <si>
    <t xml:space="preserve">Cash Flow (Worst Case):</t>
  </si>
  <si>
    <t xml:space="preserve">BREAK-EVEN ANALYSIS</t>
  </si>
  <si>
    <t xml:space="preserve">Monthly Expenses + Debt:</t>
  </si>
  <si>
    <t xml:space="preserve">Required Gross Rent:</t>
  </si>
  <si>
    <t xml:space="preserve">Actual Gross Rent:</t>
  </si>
  <si>
    <t xml:space="preserve">Cushion Above Break-Even:</t>
  </si>
  <si>
    <t xml:space="preserve">Cushion %:</t>
  </si>
  <si>
    <t xml:space="preserve">TAX BENEFITS ANALYSIS</t>
  </si>
  <si>
    <t xml:space="preserve">Depreciation &amp; Tax Deductions</t>
  </si>
  <si>
    <t xml:space="preserve">DEPRECIATION SCHEDULE</t>
  </si>
  <si>
    <t xml:space="preserve">Land Value (20%):</t>
  </si>
  <si>
    <t xml:space="preserve">Building Value (Depreciable):</t>
  </si>
  <si>
    <t xml:space="preserve">Depreciation Period:</t>
  </si>
  <si>
    <t xml:space="preserve">10-YEAR DEPRECIATION TABLE</t>
  </si>
  <si>
    <t xml:space="preserve">Depreciation</t>
  </si>
  <si>
    <t xml:space="preserve">Accumulated</t>
  </si>
  <si>
    <t xml:space="preserve">Remaining Basis</t>
  </si>
  <si>
    <t xml:space="preserve">TAX SAVINGS ANALYSIS (YEAR 1)</t>
  </si>
  <si>
    <t xml:space="preserve">Interest Expense:</t>
  </si>
  <si>
    <t xml:space="preserve">Depreciation:</t>
  </si>
  <si>
    <t xml:space="preserve">Other Deductions:</t>
  </si>
  <si>
    <t xml:space="preserve">Taxable Income:</t>
  </si>
  <si>
    <t xml:space="preserve">Tax Liability (Savings):</t>
  </si>
  <si>
    <t xml:space="preserve">Pre-Tax Cash Flow:</t>
  </si>
  <si>
    <t xml:space="preserve">Tax Savings:</t>
  </si>
  <si>
    <t xml:space="preserve">After-Tax Cash Flow:</t>
  </si>
  <si>
    <t xml:space="preserve">1031 EXCHANGE STRATEGY</t>
  </si>
  <si>
    <t xml:space="preserve">Sale Price (Year 10):</t>
  </si>
  <si>
    <t xml:space="preserve">Tax WITHOUT 1031:</t>
  </si>
  <si>
    <t xml:space="preserve">Tax WITH 1031:</t>
  </si>
  <si>
    <t xml:space="preserve">Tax Savings via 1031:</t>
  </si>
  <si>
    <t xml:space="preserve">1031 Requirements:</t>
  </si>
  <si>
    <t xml:space="preserve">✓ Identify replacement property within 45 days</t>
  </si>
  <si>
    <t xml:space="preserve">✓ Close on new property within 180 days</t>
  </si>
  <si>
    <t xml:space="preserve">✓ Must be "like-kind" (rental → rental)</t>
  </si>
  <si>
    <t xml:space="preserve">✓ Equal or greater value</t>
  </si>
  <si>
    <t xml:space="preserve">PORTFOLIO SCALING SCENARIOS</t>
  </si>
  <si>
    <t xml:space="preserve">Building a Multi-Property Portfolio</t>
  </si>
  <si>
    <t xml:space="preserve">SCENARIO 1: CONSERVATIVE SCALE (1 Property/Year)</t>
  </si>
  <si>
    <t xml:space="preserve">Properties</t>
  </si>
  <si>
    <t xml:space="preserve">Total Rent</t>
  </si>
  <si>
    <t xml:space="preserve">Total CF/Year</t>
  </si>
  <si>
    <t xml:space="preserve">Portfolio Value</t>
  </si>
  <si>
    <t xml:space="preserve">KEY METRICS (Year 10):</t>
  </si>
  <si>
    <t xml:space="preserve">Total Properties:</t>
  </si>
  <si>
    <t xml:space="preserve">Portfolio Value:</t>
  </si>
  <si>
    <t xml:space="preserve">Total Equity:</t>
  </si>
  <si>
    <t xml:space="preserve">Total Debt:</t>
  </si>
  <si>
    <t xml:space="preserve">SCENARIO 2: BRRRR VELOCITY (Recycle Capital)</t>
  </si>
  <si>
    <t xml:space="preserve">Starting Capital:</t>
  </si>
  <si>
    <t xml:space="preserve">Capital Recycled per Deal:</t>
  </si>
  <si>
    <t xml:space="preserve">Months per Deal:</t>
  </si>
  <si>
    <t xml:space="preserve">Deals per Year:</t>
  </si>
  <si>
    <t xml:space="preserve">Properties after 10 Years:</t>
  </si>
  <si>
    <t xml:space="preserve">Monthly Cash Flow (10 Years):</t>
  </si>
  <si>
    <t xml:space="preserve">Conservative</t>
  </si>
  <si>
    <t xml:space="preserve">BRRRR Velocity</t>
  </si>
  <si>
    <t xml:space="preserve">Properties (10 Years)</t>
  </si>
  <si>
    <t xml:space="preserve">Annual Cash Flow</t>
  </si>
  <si>
    <t xml:space="preserve">Starting Capital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</si>
</sst>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0\x"/>
    <numFmt numFmtId="169" formatCode="#,##0.00;\(#,##0.00\);\-"/>
    <numFmt numFmtId="170" formatCode="0.0"/>
    <numFmt numFmtId="171" formatCode="0.00%;\(0.00%\);\-"/>
    <numFmt numFmtId="172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6B6B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8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7" min="6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str">
        <f aca="false">'Inputs &amp; Assumptions'!B5</f>
        <v>123 Main Street, Anytown, USA</v>
      </c>
    </row>
    <row r="6" customFormat="false" ht="15" hidden="false" customHeight="false" outlineLevel="0" collapsed="false">
      <c r="A6" s="0" t="s">
        <v>4</v>
      </c>
      <c r="B6" s="4" t="str">
        <f aca="false">'Inputs &amp; Assumptions'!B6</f>
        <v>Single-Family Residence</v>
      </c>
    </row>
    <row r="7" customFormat="false" ht="15" hidden="false" customHeight="false" outlineLevel="0" collapsed="false">
      <c r="A7" s="0" t="s">
        <v>5</v>
      </c>
      <c r="B7" s="5" t="n">
        <f aca="false">'Inputs &amp; Assumptions'!B7</f>
        <v>1500</v>
      </c>
    </row>
    <row r="8" customFormat="false" ht="15" hidden="false" customHeight="false" outlineLevel="0" collapsed="false">
      <c r="A8" s="0" t="s">
        <v>6</v>
      </c>
      <c r="B8" s="4" t="str">
        <f aca="false">'Inputs &amp; Assumptions'!B8&amp;" / "&amp;'Inputs &amp; Assumptions'!B9</f>
        <v>3 / 2</v>
      </c>
    </row>
    <row r="10" customFormat="false" ht="15" hidden="false" customHeight="false" outlineLevel="0" collapsed="false">
      <c r="A10" s="3" t="s">
        <v>7</v>
      </c>
      <c r="D10" s="3" t="s">
        <v>8</v>
      </c>
    </row>
    <row r="11" customFormat="false" ht="15" hidden="false" customHeight="false" outlineLevel="0" collapsed="false">
      <c r="A11" s="0" t="s">
        <v>9</v>
      </c>
      <c r="B11" s="6" t="n">
        <f aca="false">'Inputs &amp; Assumptions'!B13</f>
        <v>150000</v>
      </c>
      <c r="D11" s="7" t="s">
        <v>10</v>
      </c>
      <c r="E11" s="8" t="n">
        <f aca="false">'10-Year Cash Flow'!N5*12</f>
        <v>0</v>
      </c>
    </row>
    <row r="12" customFormat="false" ht="15" hidden="false" customHeight="false" outlineLevel="0" collapsed="false">
      <c r="A12" s="0" t="s">
        <v>11</v>
      </c>
      <c r="B12" s="6" t="n">
        <f aca="false">'Inputs &amp; Assumptions'!B20</f>
        <v>45000</v>
      </c>
      <c r="D12" s="7" t="s">
        <v>12</v>
      </c>
      <c r="E12" s="9" t="n">
        <f aca="false">E11/B13</f>
        <v>0</v>
      </c>
    </row>
    <row r="13" customFormat="false" ht="15" hidden="false" customHeight="false" outlineLevel="0" collapsed="false">
      <c r="A13" s="0" t="s">
        <v>13</v>
      </c>
      <c r="B13" s="6" t="n">
        <f aca="false">'Acquisition Analysis'!B20</f>
        <v>204050</v>
      </c>
      <c r="D13" s="7" t="s">
        <v>14</v>
      </c>
      <c r="E13" s="9" t="n">
        <f aca="false">'10-Year Cash Flow'!B33</f>
        <v>95452.5700496367</v>
      </c>
    </row>
    <row r="14" customFormat="false" ht="15" hidden="false" customHeight="false" outlineLevel="0" collapsed="false">
      <c r="A14" s="0" t="s">
        <v>15</v>
      </c>
      <c r="B14" s="6" t="n">
        <f aca="false">'Inputs &amp; Assumptions'!B28</f>
        <v>284200</v>
      </c>
      <c r="D14" s="7" t="s">
        <v>16</v>
      </c>
      <c r="E14" s="10" t="n">
        <f aca="false">'10-Year Cash Flow'!B34</f>
        <v>0</v>
      </c>
    </row>
    <row r="15" customFormat="false" ht="15" hidden="false" customHeight="false" outlineLevel="0" collapsed="false">
      <c r="A15" s="0" t="s">
        <v>17</v>
      </c>
      <c r="B15" s="8" t="n">
        <f aca="false">B14-B13</f>
        <v>80150</v>
      </c>
      <c r="D15" s="7" t="s">
        <v>18</v>
      </c>
      <c r="E15" s="8" t="n">
        <f aca="false">'10-Year Cash Flow'!B35</f>
        <v>0</v>
      </c>
    </row>
    <row r="17" customFormat="false" ht="15" hidden="false" customHeight="false" outlineLevel="0" collapsed="false">
      <c r="A17" s="3" t="s">
        <v>19</v>
      </c>
      <c r="D17" s="3" t="s">
        <v>20</v>
      </c>
    </row>
    <row r="18" customFormat="false" ht="15" hidden="false" customHeight="false" outlineLevel="0" collapsed="false">
      <c r="A18" s="0" t="s">
        <v>21</v>
      </c>
      <c r="B18" s="6" t="n">
        <f aca="false">'Inputs &amp; Assumptions'!B32</f>
        <v>2500</v>
      </c>
      <c r="D18" s="11" t="s">
        <v>22</v>
      </c>
      <c r="E18" s="11" t="s">
        <v>23</v>
      </c>
      <c r="F18" s="11" t="s">
        <v>24</v>
      </c>
      <c r="G18" s="11" t="s">
        <v>25</v>
      </c>
    </row>
    <row r="19" customFormat="false" ht="15" hidden="false" customHeight="false" outlineLevel="0" collapsed="false">
      <c r="A19" s="0" t="s">
        <v>26</v>
      </c>
      <c r="B19" s="8" t="n">
        <f aca="false">-B18*0.05</f>
        <v>-125</v>
      </c>
      <c r="D19" s="7" t="s">
        <v>27</v>
      </c>
      <c r="E19" s="9" t="n">
        <f aca="false">'Acquisition Analysis'!B26</f>
        <v>13528</v>
      </c>
      <c r="F19" s="9" t="s">
        <v>28</v>
      </c>
      <c r="G19" s="0" t="str">
        <f aca="false">IF(E19&gt;=F19,"✓ Pass","✗ Below")</f>
        <v>✗ Below</v>
      </c>
    </row>
    <row r="20" customFormat="false" ht="15" hidden="false" customHeight="false" outlineLevel="0" collapsed="false">
      <c r="A20" s="0" t="s">
        <v>29</v>
      </c>
      <c r="B20" s="8" t="n">
        <f aca="false">B18+B19</f>
        <v>2375</v>
      </c>
      <c r="D20" s="7" t="s">
        <v>30</v>
      </c>
      <c r="E20" s="9" t="n">
        <f aca="false">'Acquisition Analysis'!B24</f>
        <v>0.0161666666666667</v>
      </c>
      <c r="F20" s="9" t="s">
        <v>31</v>
      </c>
      <c r="G20" s="0" t="str">
        <f aca="false">IF(E20&gt;=F20,"✓ Pass","✗ Below")</f>
        <v>✗ Below</v>
      </c>
    </row>
    <row r="21" customFormat="false" ht="15" hidden="false" customHeight="false" outlineLevel="0" collapsed="false">
      <c r="A21" s="0" t="s">
        <v>32</v>
      </c>
      <c r="B21" s="6" t="n">
        <f aca="false">'Inputs &amp; Assumptions'!B50</f>
        <v>13528</v>
      </c>
      <c r="D21" s="7" t="s">
        <v>33</v>
      </c>
      <c r="E21" s="9" t="n">
        <f aca="false">E12</f>
        <v>0</v>
      </c>
      <c r="F21" s="9" t="s">
        <v>34</v>
      </c>
      <c r="G21" s="0" t="str">
        <f aca="false">IF(E21&gt;=F21,"✓ Pass","✗ Below")</f>
        <v>✗ Below</v>
      </c>
    </row>
    <row r="22" customFormat="false" ht="15" hidden="false" customHeight="false" outlineLevel="0" collapsed="false">
      <c r="A22" s="0" t="s">
        <v>35</v>
      </c>
      <c r="B22" s="8" t="n">
        <f aca="false">B20-B21</f>
        <v>-11153</v>
      </c>
      <c r="D22" s="7" t="s">
        <v>36</v>
      </c>
      <c r="E22" s="12" t="n">
        <f aca="false">'Acquisition Analysis'!B30</f>
        <v>0</v>
      </c>
      <c r="F22" s="12" t="s">
        <v>37</v>
      </c>
      <c r="G22" s="0" t="str">
        <f aca="false">IF(E22&gt;=F22,"✓ Pass","✗ Below")</f>
        <v>✗ Below</v>
      </c>
    </row>
    <row r="23" customFormat="false" ht="15" hidden="false" customHeight="false" outlineLevel="0" collapsed="false">
      <c r="A23" s="0" t="s">
        <v>38</v>
      </c>
      <c r="B23" s="6" t="n">
        <f aca="false">'Inputs &amp; Assumptions'!B59</f>
        <v>1490.37572498025</v>
      </c>
    </row>
    <row r="24" customFormat="false" ht="15" hidden="false" customHeight="false" outlineLevel="0" collapsed="false">
      <c r="A24" s="0" t="s">
        <v>39</v>
      </c>
      <c r="B24" s="13" t="n">
        <f aca="false">B22-B23</f>
        <v>-12643.3757249803</v>
      </c>
    </row>
    <row r="26" customFormat="false" ht="15" hidden="false" customHeight="false" outlineLevel="0" collapsed="false">
      <c r="A26" s="3" t="s">
        <v>40</v>
      </c>
    </row>
    <row r="27" customFormat="false" ht="15" hidden="false" customHeight="false" outlineLevel="0" collapsed="false">
      <c r="A27" s="11" t="s">
        <v>41</v>
      </c>
      <c r="B27" s="11" t="s">
        <v>42</v>
      </c>
      <c r="C27" s="11" t="s">
        <v>43</v>
      </c>
      <c r="D27" s="11" t="s">
        <v>44</v>
      </c>
      <c r="E27" s="11" t="s">
        <v>45</v>
      </c>
      <c r="F27" s="11" t="s">
        <v>46</v>
      </c>
    </row>
    <row r="28" customFormat="false" ht="15" hidden="false" customHeight="false" outlineLevel="0" collapsed="false">
      <c r="A28" s="0" t="s">
        <v>47</v>
      </c>
      <c r="B28" s="0" t="s">
        <v>48</v>
      </c>
      <c r="C28" s="8" t="str">
        <f aca="false">'Exit Strategies'!B5</f>
        <v>6 months</v>
      </c>
      <c r="D28" s="8" t="s">
        <v>49</v>
      </c>
      <c r="E28" s="8" t="str">
        <f aca="false">'Exit Strategies'!B7</f>
        <v>$0</v>
      </c>
      <c r="F28" s="9" t="n">
        <f aca="false">'Exit Strategies'!B8</f>
        <v>57414</v>
      </c>
    </row>
    <row r="29" customFormat="false" ht="15" hidden="false" customHeight="false" outlineLevel="0" collapsed="false">
      <c r="A29" s="0" t="s">
        <v>50</v>
      </c>
      <c r="B29" s="0" t="s">
        <v>51</v>
      </c>
      <c r="C29" s="8" t="str">
        <f aca="false">'Exit Strategies'!C5</f>
        <v>9 months + hold</v>
      </c>
      <c r="D29" s="8" t="n">
        <f aca="false">'Exit Strategies'!C6</f>
        <v>55849.5</v>
      </c>
      <c r="E29" s="8" t="n">
        <f aca="false">'Exit Strategies'!C7</f>
        <v>-313.959058313583</v>
      </c>
      <c r="F29" s="9" t="n">
        <f aca="false">'Exit Strategies'!C8</f>
        <v>35221.0698913345</v>
      </c>
    </row>
    <row r="30" customFormat="false" ht="15" hidden="false" customHeight="false" outlineLevel="0" collapsed="false">
      <c r="A30" s="0" t="s">
        <v>52</v>
      </c>
      <c r="B30" s="0" t="s">
        <v>53</v>
      </c>
      <c r="C30" s="8" t="str">
        <f aca="false">'Exit Strategies'!D5</f>
        <v>10 years</v>
      </c>
      <c r="D30" s="8" t="n">
        <f aca="false">'Exit Strategies'!D6</f>
        <v>95452.5700496367</v>
      </c>
      <c r="E30" s="8" t="n">
        <f aca="false">'Exit Strategies'!D7</f>
        <v>0</v>
      </c>
      <c r="F30" s="9" t="n">
        <f aca="false">'Exit Strategies'!D8</f>
        <v>65724.1399409712</v>
      </c>
    </row>
    <row r="31" customFormat="false" ht="15" hidden="false" customHeight="false" outlineLevel="0" collapsed="false">
      <c r="A31" s="0" t="s">
        <v>54</v>
      </c>
      <c r="B31" s="0" t="s">
        <v>55</v>
      </c>
      <c r="C31" s="8" t="s">
        <v>49</v>
      </c>
      <c r="D31" s="8" t="n">
        <f aca="false">'10-Year Cash Flow'!N14</f>
        <v>0</v>
      </c>
      <c r="E31" s="8" t="s">
        <v>56</v>
      </c>
      <c r="F31" s="9" t="n">
        <f aca="false">'10-Year Cash Flow'!B32</f>
        <v>-80531.4487911224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4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15" t="s">
        <v>59</v>
      </c>
    </row>
    <row r="6" customFormat="false" ht="15" hidden="false" customHeight="false" outlineLevel="0" collapsed="false">
      <c r="A6" s="0" t="s">
        <v>4</v>
      </c>
      <c r="B6" s="15" t="s">
        <v>60</v>
      </c>
    </row>
    <row r="7" customFormat="false" ht="15" hidden="false" customHeight="false" outlineLevel="0" collapsed="false">
      <c r="A7" s="0" t="s">
        <v>5</v>
      </c>
      <c r="B7" s="16" t="n">
        <v>1500</v>
      </c>
    </row>
    <row r="8" customFormat="false" ht="15" hidden="false" customHeight="false" outlineLevel="0" collapsed="false">
      <c r="A8" s="0" t="s">
        <v>61</v>
      </c>
      <c r="B8" s="15" t="n">
        <v>3</v>
      </c>
    </row>
    <row r="9" customFormat="false" ht="15" hidden="false" customHeight="false" outlineLevel="0" collapsed="false">
      <c r="A9" s="0" t="s">
        <v>62</v>
      </c>
      <c r="B9" s="17" t="n">
        <v>2</v>
      </c>
    </row>
    <row r="10" customFormat="false" ht="15" hidden="false" customHeight="false" outlineLevel="0" collapsed="false">
      <c r="A10" s="0" t="s">
        <v>63</v>
      </c>
      <c r="B10" s="15" t="n">
        <v>1985</v>
      </c>
    </row>
    <row r="12" customFormat="false" ht="15" hidden="false" customHeight="false" outlineLevel="0" collapsed="false">
      <c r="A12" s="3" t="s">
        <v>64</v>
      </c>
    </row>
    <row r="13" customFormat="false" ht="15" hidden="false" customHeight="false" outlineLevel="0" collapsed="false">
      <c r="A13" s="0" t="s">
        <v>9</v>
      </c>
      <c r="B13" s="18" t="n">
        <v>150000</v>
      </c>
    </row>
    <row r="14" customFormat="false" ht="15" hidden="false" customHeight="false" outlineLevel="0" collapsed="false">
      <c r="A14" s="0" t="s">
        <v>65</v>
      </c>
      <c r="B14" s="19" t="n">
        <v>0.025</v>
      </c>
    </row>
    <row r="15" customFormat="false" ht="15" hidden="false" customHeight="false" outlineLevel="0" collapsed="false">
      <c r="A15" s="0" t="s">
        <v>66</v>
      </c>
      <c r="B15" s="8" t="n">
        <f aca="false">B13*B14</f>
        <v>3750</v>
      </c>
    </row>
    <row r="16" customFormat="false" ht="15" hidden="false" customHeight="false" outlineLevel="0" collapsed="false">
      <c r="A16" s="0" t="s">
        <v>67</v>
      </c>
      <c r="B16" s="18" t="n">
        <v>500</v>
      </c>
    </row>
    <row r="17" customFormat="false" ht="15" hidden="false" customHeight="false" outlineLevel="0" collapsed="false">
      <c r="A17" s="0" t="s">
        <v>68</v>
      </c>
      <c r="B17" s="18" t="n">
        <v>300</v>
      </c>
    </row>
    <row r="19" customFormat="false" ht="15" hidden="false" customHeight="false" outlineLevel="0" collapsed="false">
      <c r="A19" s="3" t="s">
        <v>69</v>
      </c>
    </row>
    <row r="20" customFormat="false" ht="15" hidden="false" customHeight="false" outlineLevel="0" collapsed="false">
      <c r="A20" s="0" t="s">
        <v>70</v>
      </c>
      <c r="B20" s="18" t="n">
        <v>45000</v>
      </c>
    </row>
    <row r="21" customFormat="false" ht="15" hidden="false" customHeight="false" outlineLevel="0" collapsed="false">
      <c r="A21" s="0" t="s">
        <v>71</v>
      </c>
      <c r="B21" s="19" t="n">
        <v>0.1</v>
      </c>
    </row>
    <row r="22" customFormat="false" ht="15" hidden="false" customHeight="false" outlineLevel="0" collapsed="false">
      <c r="A22" s="0" t="s">
        <v>72</v>
      </c>
      <c r="B22" s="8" t="n">
        <f aca="false">B20*(1+B21)</f>
        <v>49500</v>
      </c>
    </row>
    <row r="24" customFormat="false" ht="15" hidden="false" customHeight="false" outlineLevel="0" collapsed="false">
      <c r="A24" s="3" t="s">
        <v>73</v>
      </c>
    </row>
    <row r="25" customFormat="false" ht="15" hidden="false" customHeight="false" outlineLevel="0" collapsed="false">
      <c r="A25" s="0" t="s">
        <v>74</v>
      </c>
      <c r="B25" s="18" t="n">
        <v>285000</v>
      </c>
    </row>
    <row r="26" customFormat="false" ht="15" hidden="false" customHeight="false" outlineLevel="0" collapsed="false">
      <c r="A26" s="0" t="s">
        <v>75</v>
      </c>
      <c r="B26" s="18" t="n">
        <v>290000</v>
      </c>
    </row>
    <row r="27" customFormat="false" ht="15" hidden="false" customHeight="false" outlineLevel="0" collapsed="false">
      <c r="A27" s="0" t="s">
        <v>76</v>
      </c>
      <c r="B27" s="18" t="n">
        <v>295000</v>
      </c>
    </row>
    <row r="28" customFormat="false" ht="15" hidden="false" customHeight="false" outlineLevel="0" collapsed="false">
      <c r="A28" s="0" t="s">
        <v>77</v>
      </c>
      <c r="B28" s="20" t="n">
        <f aca="false">AVERAGE(B25:B27)*0.98</f>
        <v>284200</v>
      </c>
    </row>
    <row r="30" customFormat="false" ht="15" hidden="false" customHeight="false" outlineLevel="0" collapsed="false">
      <c r="A30" s="3" t="s">
        <v>78</v>
      </c>
    </row>
    <row r="31" customFormat="false" ht="15" hidden="false" customHeight="false" outlineLevel="0" collapsed="false">
      <c r="A31" s="0" t="s">
        <v>79</v>
      </c>
      <c r="B31" s="18" t="n">
        <v>2400</v>
      </c>
    </row>
    <row r="32" customFormat="false" ht="15" hidden="false" customHeight="false" outlineLevel="0" collapsed="false">
      <c r="A32" s="0" t="s">
        <v>80</v>
      </c>
      <c r="B32" s="18" t="n">
        <v>2500</v>
      </c>
    </row>
    <row r="33" customFormat="false" ht="15" hidden="false" customHeight="false" outlineLevel="0" collapsed="false">
      <c r="A33" s="0" t="s">
        <v>81</v>
      </c>
      <c r="B33" s="18" t="n">
        <v>2600</v>
      </c>
    </row>
    <row r="34" customFormat="false" ht="15" hidden="false" customHeight="false" outlineLevel="0" collapsed="false">
      <c r="A34" s="0" t="s">
        <v>82</v>
      </c>
      <c r="B34" s="19" t="n">
        <v>0.03</v>
      </c>
    </row>
    <row r="35" customFormat="false" ht="15" hidden="false" customHeight="false" outlineLevel="0" collapsed="false">
      <c r="A35" s="0" t="s">
        <v>83</v>
      </c>
      <c r="B35" s="20" t="n">
        <f aca="false">AVERAGE(B31:B33)*(1-B34)</f>
        <v>2425</v>
      </c>
    </row>
    <row r="37" customFormat="false" ht="15" hidden="false" customHeight="false" outlineLevel="0" collapsed="false">
      <c r="A37" s="3" t="s">
        <v>84</v>
      </c>
    </row>
    <row r="38" customFormat="false" ht="15" hidden="false" customHeight="false" outlineLevel="0" collapsed="false">
      <c r="A38" s="0" t="s">
        <v>85</v>
      </c>
      <c r="B38" s="19" t="n">
        <v>0.05</v>
      </c>
    </row>
    <row r="39" customFormat="false" ht="15" hidden="false" customHeight="false" outlineLevel="0" collapsed="false">
      <c r="A39" s="0" t="s">
        <v>86</v>
      </c>
      <c r="B39" s="19" t="n">
        <v>0.01</v>
      </c>
    </row>
    <row r="41" customFormat="false" ht="15" hidden="false" customHeight="false" outlineLevel="0" collapsed="false">
      <c r="A41" s="0" t="s">
        <v>87</v>
      </c>
      <c r="B41" s="18" t="n">
        <v>5200</v>
      </c>
    </row>
    <row r="42" customFormat="false" ht="15" hidden="false" customHeight="false" outlineLevel="0" collapsed="false">
      <c r="A42" s="0" t="s">
        <v>88</v>
      </c>
      <c r="B42" s="18" t="n">
        <v>1800</v>
      </c>
    </row>
    <row r="43" customFormat="false" ht="15" hidden="false" customHeight="false" outlineLevel="0" collapsed="false">
      <c r="A43" s="0" t="s">
        <v>89</v>
      </c>
      <c r="B43" s="18" t="n">
        <v>0</v>
      </c>
    </row>
    <row r="44" customFormat="false" ht="15" hidden="false" customHeight="false" outlineLevel="0" collapsed="false">
      <c r="A44" s="0" t="s">
        <v>90</v>
      </c>
      <c r="B44" s="19" t="n">
        <v>0.08</v>
      </c>
    </row>
    <row r="45" customFormat="false" ht="15" hidden="false" customHeight="false" outlineLevel="0" collapsed="false">
      <c r="A45" s="0" t="s">
        <v>91</v>
      </c>
      <c r="B45" s="18" t="n">
        <v>200</v>
      </c>
    </row>
    <row r="46" customFormat="false" ht="15" hidden="false" customHeight="false" outlineLevel="0" collapsed="false">
      <c r="A46" s="0" t="s">
        <v>92</v>
      </c>
      <c r="B46" s="18" t="n">
        <v>150</v>
      </c>
    </row>
    <row r="47" customFormat="false" ht="15" hidden="false" customHeight="false" outlineLevel="0" collapsed="false">
      <c r="A47" s="0" t="s">
        <v>93</v>
      </c>
      <c r="B47" s="18" t="n">
        <v>0</v>
      </c>
    </row>
    <row r="49" customFormat="false" ht="15" hidden="false" customHeight="false" outlineLevel="0" collapsed="false">
      <c r="A49" s="0" t="s">
        <v>94</v>
      </c>
      <c r="B49" s="20" t="n">
        <f aca="false">(B41+B42)/12+B43+(B35*B44)+B45+B46+B47</f>
        <v>1127.33333333333</v>
      </c>
    </row>
    <row r="50" customFormat="false" ht="15" hidden="false" customHeight="false" outlineLevel="0" collapsed="false">
      <c r="A50" s="0" t="s">
        <v>95</v>
      </c>
      <c r="B50" s="8" t="n">
        <f aca="false">B49*12</f>
        <v>13528</v>
      </c>
    </row>
    <row r="52" customFormat="false" ht="15" hidden="false" customHeight="false" outlineLevel="0" collapsed="false">
      <c r="A52" s="3" t="s">
        <v>96</v>
      </c>
    </row>
    <row r="53" customFormat="false" ht="15" hidden="false" customHeight="false" outlineLevel="0" collapsed="false">
      <c r="A53" s="0" t="s">
        <v>97</v>
      </c>
      <c r="B53" s="19" t="n">
        <v>0.75</v>
      </c>
    </row>
    <row r="54" customFormat="false" ht="15" hidden="false" customHeight="false" outlineLevel="0" collapsed="false">
      <c r="A54" s="0" t="s">
        <v>98</v>
      </c>
      <c r="B54" s="8" t="n">
        <f aca="false">B28*B53</f>
        <v>213150</v>
      </c>
    </row>
    <row r="55" customFormat="false" ht="15" hidden="false" customHeight="false" outlineLevel="0" collapsed="false">
      <c r="A55" s="0" t="s">
        <v>99</v>
      </c>
      <c r="B55" s="19" t="n">
        <v>0.075</v>
      </c>
    </row>
    <row r="56" customFormat="false" ht="15" hidden="false" customHeight="false" outlineLevel="0" collapsed="false">
      <c r="A56" s="0" t="s">
        <v>100</v>
      </c>
      <c r="B56" s="15" t="n">
        <v>30</v>
      </c>
    </row>
    <row r="57" customFormat="false" ht="15" hidden="false" customHeight="false" outlineLevel="0" collapsed="false">
      <c r="A57" s="0" t="s">
        <v>101</v>
      </c>
      <c r="B57" s="21" t="n">
        <f aca="false">B55/12</f>
        <v>0.00625</v>
      </c>
    </row>
    <row r="58" customFormat="false" ht="15" hidden="false" customHeight="false" outlineLevel="0" collapsed="false">
      <c r="A58" s="0" t="s">
        <v>102</v>
      </c>
      <c r="B58" s="22" t="n">
        <f aca="false">B56*12</f>
        <v>360</v>
      </c>
    </row>
    <row r="59" customFormat="false" ht="15" hidden="false" customHeight="false" outlineLevel="0" collapsed="false">
      <c r="A59" s="0" t="s">
        <v>103</v>
      </c>
      <c r="B59" s="20" t="n">
        <f aca="false">PMT(B57,B58,-B54)</f>
        <v>1490.37572498025</v>
      </c>
    </row>
    <row r="61" customFormat="false" ht="15" hidden="false" customHeight="false" outlineLevel="0" collapsed="false">
      <c r="A61" s="3" t="s">
        <v>104</v>
      </c>
    </row>
    <row r="62" customFormat="false" ht="15" hidden="false" customHeight="false" outlineLevel="0" collapsed="false">
      <c r="A62" s="0" t="s">
        <v>105</v>
      </c>
      <c r="B62" s="15" t="n">
        <v>10</v>
      </c>
    </row>
    <row r="63" customFormat="false" ht="15" hidden="false" customHeight="false" outlineLevel="0" collapsed="false">
      <c r="A63" s="0" t="s">
        <v>106</v>
      </c>
      <c r="B63" s="19" t="n">
        <v>0.03</v>
      </c>
    </row>
    <row r="64" customFormat="false" ht="15" hidden="false" customHeight="false" outlineLevel="0" collapsed="false">
      <c r="A64" s="0" t="s">
        <v>107</v>
      </c>
      <c r="B64" s="19" t="n">
        <v>0.035</v>
      </c>
    </row>
    <row r="65" customFormat="false" ht="15" hidden="false" customHeight="false" outlineLevel="0" collapsed="false">
      <c r="A65" s="0" t="s">
        <v>108</v>
      </c>
      <c r="B65" s="19" t="n">
        <v>0.04</v>
      </c>
    </row>
    <row r="67" customFormat="false" ht="15" hidden="false" customHeight="false" outlineLevel="0" collapsed="false">
      <c r="A67" s="3" t="s">
        <v>109</v>
      </c>
    </row>
    <row r="68" customFormat="false" ht="15" hidden="false" customHeight="false" outlineLevel="0" collapsed="false">
      <c r="A68" s="0" t="s">
        <v>110</v>
      </c>
      <c r="B68" s="15" t="n">
        <v>10</v>
      </c>
    </row>
    <row r="69" customFormat="false" ht="15" hidden="false" customHeight="false" outlineLevel="0" collapsed="false">
      <c r="A69" s="0" t="s">
        <v>111</v>
      </c>
      <c r="B69" s="19" t="n">
        <v>0.06</v>
      </c>
    </row>
    <row r="70" customFormat="false" ht="15" hidden="false" customHeight="false" outlineLevel="0" collapsed="false">
      <c r="A70" s="0" t="s">
        <v>112</v>
      </c>
      <c r="B70" s="19" t="n">
        <v>0.015</v>
      </c>
    </row>
    <row r="71" customFormat="false" ht="15" hidden="false" customHeight="false" outlineLevel="0" collapsed="false">
      <c r="A71" s="0" t="s">
        <v>113</v>
      </c>
      <c r="B71" s="19" t="n">
        <v>0.2</v>
      </c>
    </row>
    <row r="72" customFormat="false" ht="15" hidden="false" customHeight="false" outlineLevel="0" collapsed="false">
      <c r="A72" s="0" t="s">
        <v>114</v>
      </c>
      <c r="B72" s="19" t="n">
        <v>0.25</v>
      </c>
    </row>
    <row r="73" customFormat="false" ht="15" hidden="false" customHeight="false" outlineLevel="0" collapsed="false">
      <c r="A73" s="0" t="s">
        <v>115</v>
      </c>
      <c r="B73" s="15" t="s">
        <v>116</v>
      </c>
    </row>
    <row r="75" customFormat="false" ht="15" hidden="false" customHeight="false" outlineLevel="0" collapsed="false">
      <c r="A75" s="3" t="s">
        <v>117</v>
      </c>
    </row>
    <row r="76" customFormat="false" ht="15" hidden="false" customHeight="false" outlineLevel="0" collapsed="false">
      <c r="A76" s="0" t="s">
        <v>118</v>
      </c>
      <c r="B76" s="19" t="n">
        <v>0.2</v>
      </c>
    </row>
    <row r="77" customFormat="false" ht="15" hidden="false" customHeight="false" outlineLevel="0" collapsed="false">
      <c r="A77" s="0" t="s">
        <v>119</v>
      </c>
      <c r="B77" s="8" t="n">
        <f aca="false">B28*(1-B76)</f>
        <v>227360</v>
      </c>
    </row>
    <row r="78" customFormat="false" ht="15" hidden="false" customHeight="false" outlineLevel="0" collapsed="false">
      <c r="A78" s="0" t="s">
        <v>120</v>
      </c>
      <c r="B78" s="17" t="n">
        <v>27.5</v>
      </c>
    </row>
    <row r="79" customFormat="false" ht="15" hidden="false" customHeight="false" outlineLevel="0" collapsed="false">
      <c r="A79" s="0" t="s">
        <v>121</v>
      </c>
      <c r="B79" s="8" t="n">
        <f aca="false">B77/B78</f>
        <v>8267.63636363636</v>
      </c>
    </row>
    <row r="80" customFormat="false" ht="15" hidden="false" customHeight="false" outlineLevel="0" collapsed="false">
      <c r="A80" s="0" t="s">
        <v>122</v>
      </c>
      <c r="B80" s="19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4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3" t="s">
        <v>73</v>
      </c>
    </row>
    <row r="5" customFormat="false" ht="15" hidden="false" customHeight="false" outlineLevel="0" collapsed="false">
      <c r="A5" s="0" t="s">
        <v>125</v>
      </c>
      <c r="B5" s="6" t="n">
        <f aca="false">'Inputs &amp; Assumptions'!B28</f>
        <v>284200</v>
      </c>
    </row>
    <row r="7" customFormat="false" ht="15" hidden="false" customHeight="false" outlineLevel="0" collapsed="false">
      <c r="A7" s="3" t="s">
        <v>126</v>
      </c>
    </row>
    <row r="8" customFormat="false" ht="15" hidden="false" customHeight="false" outlineLevel="0" collapsed="false">
      <c r="A8" s="0" t="s">
        <v>9</v>
      </c>
      <c r="B8" s="6" t="n">
        <f aca="false">'Inputs &amp; Assumptions'!B13</f>
        <v>150000</v>
      </c>
    </row>
    <row r="9" customFormat="false" ht="15" hidden="false" customHeight="false" outlineLevel="0" collapsed="false">
      <c r="A9" s="0" t="s">
        <v>127</v>
      </c>
      <c r="B9" s="6" t="n">
        <f aca="false">'Inputs &amp; Assumptions'!B15</f>
        <v>3750</v>
      </c>
    </row>
    <row r="10" customFormat="false" ht="15" hidden="false" customHeight="false" outlineLevel="0" collapsed="false">
      <c r="A10" s="0" t="s">
        <v>128</v>
      </c>
      <c r="B10" s="6" t="n">
        <f aca="false">'Inputs &amp; Assumptions'!B16</f>
        <v>500</v>
      </c>
    </row>
    <row r="11" customFormat="false" ht="15" hidden="false" customHeight="false" outlineLevel="0" collapsed="false">
      <c r="A11" s="0" t="s">
        <v>129</v>
      </c>
      <c r="B11" s="6" t="n">
        <f aca="false">'Inputs &amp; Assumptions'!B17</f>
        <v>300</v>
      </c>
    </row>
    <row r="12" customFormat="false" ht="15" hidden="false" customHeight="false" outlineLevel="0" collapsed="false">
      <c r="A12" s="0" t="s">
        <v>130</v>
      </c>
      <c r="B12" s="6" t="n">
        <f aca="false">'Inputs &amp; Assumptions'!B22</f>
        <v>49500</v>
      </c>
    </row>
    <row r="14" customFormat="false" ht="15" hidden="false" customHeight="false" outlineLevel="0" collapsed="false">
      <c r="A14" s="0" t="s">
        <v>131</v>
      </c>
      <c r="B14" s="13" t="n">
        <f aca="false">SUM(B8:B12)</f>
        <v>204050</v>
      </c>
    </row>
    <row r="16" customFormat="false" ht="15" hidden="false" customHeight="false" outlineLevel="0" collapsed="false">
      <c r="A16" s="0" t="s">
        <v>132</v>
      </c>
      <c r="B16" s="20" t="n">
        <f aca="false">B14-'Inputs &amp; Assumptions'!B54</f>
        <v>-9100</v>
      </c>
    </row>
    <row r="17" customFormat="false" ht="15" hidden="false" customHeight="false" outlineLevel="0" collapsed="false">
      <c r="A17" s="0" t="s">
        <v>98</v>
      </c>
      <c r="B17" s="6" t="n">
        <f aca="false">'Inputs &amp; Assumptions'!B54</f>
        <v>213150</v>
      </c>
    </row>
    <row r="19" customFormat="false" ht="15" hidden="false" customHeight="false" outlineLevel="0" collapsed="false">
      <c r="A19" s="0" t="s">
        <v>133</v>
      </c>
      <c r="B19" s="8" t="n">
        <f aca="false">B5-B17</f>
        <v>71050</v>
      </c>
    </row>
    <row r="20" customFormat="false" ht="15" hidden="false" customHeight="false" outlineLevel="0" collapsed="false">
      <c r="A20" s="0" t="s">
        <v>13</v>
      </c>
      <c r="B20" s="20" t="n">
        <f aca="false">B14</f>
        <v>204050</v>
      </c>
    </row>
    <row r="22" customFormat="false" ht="15" hidden="false" customHeight="false" outlineLevel="0" collapsed="false">
      <c r="A22" s="3" t="s">
        <v>134</v>
      </c>
    </row>
    <row r="23" customFormat="false" ht="15" hidden="false" customHeight="false" outlineLevel="0" collapsed="false">
      <c r="A23" s="0" t="s">
        <v>135</v>
      </c>
      <c r="B23" s="6" t="n">
        <f aca="false">'Inputs &amp; Assumptions'!B35</f>
        <v>2425</v>
      </c>
    </row>
    <row r="24" customFormat="false" ht="15" hidden="false" customHeight="false" outlineLevel="0" collapsed="false">
      <c r="A24" s="0" t="s">
        <v>136</v>
      </c>
      <c r="B24" s="9" t="n">
        <f aca="false">B23/'Inputs &amp; Assumptions'!B13</f>
        <v>0.0161666666666667</v>
      </c>
      <c r="C24" s="0" t="str">
        <f aca="false">IF(B24&gt;=0.01,"✓ Pass","✗ Fail")</f>
        <v>✓ Pass</v>
      </c>
    </row>
    <row r="25" customFormat="false" ht="15" hidden="false" customHeight="false" outlineLevel="0" collapsed="false">
      <c r="A25" s="0" t="s">
        <v>137</v>
      </c>
      <c r="B25" s="8" t="n">
        <f aca="false">B23*12</f>
        <v>29100</v>
      </c>
    </row>
    <row r="26" customFormat="false" ht="15" hidden="false" customHeight="false" outlineLevel="0" collapsed="false">
      <c r="A26" s="0" t="s">
        <v>95</v>
      </c>
      <c r="B26" s="6" t="n">
        <f aca="false">'Inputs &amp; Assumptions'!B50</f>
        <v>13528</v>
      </c>
    </row>
    <row r="27" customFormat="false" ht="15" hidden="false" customHeight="false" outlineLevel="0" collapsed="false">
      <c r="A27" s="0" t="s">
        <v>138</v>
      </c>
      <c r="B27" s="8" t="n">
        <f aca="false">B25-B26</f>
        <v>15572</v>
      </c>
    </row>
    <row r="28" customFormat="false" ht="15" hidden="false" customHeight="false" outlineLevel="0" collapsed="false">
      <c r="A28" s="0" t="s">
        <v>139</v>
      </c>
      <c r="B28" s="23" t="n">
        <f aca="false">B27/B20</f>
        <v>0.076314628767459</v>
      </c>
    </row>
    <row r="29" customFormat="false" ht="15" hidden="false" customHeight="false" outlineLevel="0" collapsed="false">
      <c r="A29" s="0" t="s">
        <v>140</v>
      </c>
      <c r="B29" s="9" t="n">
        <f aca="false">B27/B5</f>
        <v>0.0547923997185081</v>
      </c>
    </row>
    <row r="31" customFormat="false" ht="15" hidden="false" customHeight="false" outlineLevel="0" collapsed="false">
      <c r="A31" s="3" t="s">
        <v>141</v>
      </c>
    </row>
    <row r="32" customFormat="false" ht="15" hidden="false" customHeight="false" outlineLevel="0" collapsed="false">
      <c r="A32" s="0" t="s">
        <v>142</v>
      </c>
      <c r="B32" s="6" t="n">
        <f aca="false">'Inputs &amp; Assumptions'!B59</f>
        <v>1490.37572498025</v>
      </c>
    </row>
    <row r="33" customFormat="false" ht="15" hidden="false" customHeight="false" outlineLevel="0" collapsed="false">
      <c r="A33" s="0" t="s">
        <v>143</v>
      </c>
      <c r="B33" s="8" t="n">
        <f aca="false">B32*12</f>
        <v>17884.508699763</v>
      </c>
    </row>
    <row r="34" customFormat="false" ht="15" hidden="false" customHeight="false" outlineLevel="0" collapsed="false">
      <c r="A34" s="0" t="s">
        <v>144</v>
      </c>
      <c r="B34" s="24" t="n">
        <f aca="false">B27/B33</f>
        <v>0.870697666981837</v>
      </c>
      <c r="C34" s="0" t="str">
        <f aca="false">IF(B34&gt;=1.25,"✓ Strong","⚠ Acceptable")</f>
        <v>⚠ Acceptable</v>
      </c>
    </row>
    <row r="36" customFormat="false" ht="15" hidden="false" customHeight="false" outlineLevel="0" collapsed="false">
      <c r="A36" s="3" t="s">
        <v>145</v>
      </c>
    </row>
    <row r="37" customFormat="false" ht="15" hidden="false" customHeight="false" outlineLevel="0" collapsed="false">
      <c r="A37" s="0" t="s">
        <v>35</v>
      </c>
      <c r="B37" s="8" t="n">
        <f aca="false">B27</f>
        <v>15572</v>
      </c>
    </row>
    <row r="38" customFormat="false" ht="15" hidden="false" customHeight="false" outlineLevel="0" collapsed="false">
      <c r="A38" s="0" t="s">
        <v>143</v>
      </c>
      <c r="B38" s="8" t="n">
        <f aca="false">B33</f>
        <v>17884.508699763</v>
      </c>
    </row>
    <row r="39" customFormat="false" ht="15" hidden="false" customHeight="false" outlineLevel="0" collapsed="false">
      <c r="A39" s="0" t="s">
        <v>146</v>
      </c>
      <c r="B39" s="8" t="n">
        <f aca="false">B37-B38</f>
        <v>-2312.50869976299</v>
      </c>
    </row>
    <row r="40" customFormat="false" ht="15" hidden="false" customHeight="false" outlineLevel="0" collapsed="false">
      <c r="A40" s="0" t="s">
        <v>147</v>
      </c>
      <c r="B40" s="20" t="n">
        <f aca="false">B39/12</f>
        <v>-192.709058313582</v>
      </c>
    </row>
    <row r="42" customFormat="false" ht="15" hidden="false" customHeight="false" outlineLevel="0" collapsed="false">
      <c r="A42" s="0" t="s">
        <v>148</v>
      </c>
      <c r="B42" s="23" t="n">
        <f aca="false">B39/B16</f>
        <v>0.25412183513879</v>
      </c>
    </row>
    <row r="44" customFormat="false" ht="15" hidden="false" customHeight="false" outlineLevel="0" collapsed="false">
      <c r="A44" s="3" t="s">
        <v>149</v>
      </c>
    </row>
    <row r="45" customFormat="false" ht="15" hidden="false" customHeight="false" outlineLevel="0" collapsed="false">
      <c r="A45" s="0" t="s">
        <v>150</v>
      </c>
      <c r="B45" s="8" t="n">
        <f aca="false">B5*0.7</f>
        <v>198940</v>
      </c>
    </row>
    <row r="46" customFormat="false" ht="15" hidden="false" customHeight="false" outlineLevel="0" collapsed="false">
      <c r="A46" s="0" t="s">
        <v>151</v>
      </c>
      <c r="B46" s="8" t="n">
        <f aca="false">-'Inputs &amp; Assumptions'!B22</f>
        <v>-49500</v>
      </c>
    </row>
    <row r="47" customFormat="false" ht="15" hidden="false" customHeight="false" outlineLevel="0" collapsed="false">
      <c r="A47" s="0" t="s">
        <v>152</v>
      </c>
      <c r="B47" s="8" t="n">
        <f aca="false">B45+B46</f>
        <v>149440</v>
      </c>
    </row>
    <row r="48" customFormat="false" ht="15" hidden="false" customHeight="false" outlineLevel="0" collapsed="false">
      <c r="A48" s="0" t="s">
        <v>153</v>
      </c>
      <c r="B48" s="6" t="n">
        <f aca="false">'Inputs &amp; Assumptions'!B13</f>
        <v>150000</v>
      </c>
    </row>
    <row r="49" customFormat="false" ht="15" hidden="false" customHeight="false" outlineLevel="0" collapsed="false">
      <c r="A49" s="0" t="s">
        <v>154</v>
      </c>
      <c r="B49" s="25" t="str">
        <f aca="false">IF(B48&lt;=B47,"✓ Pass - Good Flip Deal","✗ Fail - Hold Better")</f>
        <v>✗ Fail - Hold Better</v>
      </c>
    </row>
    <row r="51" customFormat="false" ht="15" hidden="false" customHeight="false" outlineLevel="0" collapsed="false">
      <c r="A51" s="3" t="s">
        <v>155</v>
      </c>
    </row>
    <row r="52" customFormat="false" ht="15" hidden="false" customHeight="false" outlineLevel="0" collapsed="false">
      <c r="A52" s="0" t="s">
        <v>156</v>
      </c>
      <c r="B52" s="26" t="n">
        <f aca="false">'Inputs &amp; Assumptions'!B13/'Inputs &amp; Assumptions'!B7</f>
        <v>100</v>
      </c>
    </row>
    <row r="53" customFormat="false" ht="15" hidden="false" customHeight="false" outlineLevel="0" collapsed="false">
      <c r="A53" s="0" t="s">
        <v>157</v>
      </c>
      <c r="B53" s="26" t="n">
        <f aca="false">B5/'Inputs &amp; Assumptions'!B7</f>
        <v>189.466666666667</v>
      </c>
    </row>
    <row r="54" customFormat="false" ht="15" hidden="false" customHeight="false" outlineLevel="0" collapsed="false">
      <c r="A54" s="0" t="s">
        <v>158</v>
      </c>
      <c r="B54" s="26" t="n">
        <f aca="false">B23/'Inputs &amp; Assumptions'!B7</f>
        <v>1.61666666666667</v>
      </c>
    </row>
    <row r="55" customFormat="false" ht="15" hidden="false" customHeight="false" outlineLevel="0" collapsed="false">
      <c r="A55" s="0" t="s">
        <v>159</v>
      </c>
      <c r="B55" s="12" t="n">
        <f aca="false">'Inputs &amp; Assumptions'!B13/B25</f>
        <v>5.15463917525773</v>
      </c>
    </row>
    <row r="56" customFormat="false" ht="15" hidden="false" customHeight="false" outlineLevel="0" collapsed="false">
      <c r="A56" s="0" t="s">
        <v>160</v>
      </c>
      <c r="B56" s="9" t="n">
        <f aca="false">(B26+B33)/B25</f>
        <v>1.07946765291282</v>
      </c>
    </row>
    <row r="57" customFormat="false" ht="15" hidden="false" customHeight="false" outlineLevel="0" collapsed="false">
      <c r="A57" s="0" t="s">
        <v>161</v>
      </c>
      <c r="B57" s="9" t="n">
        <f aca="false">B26/B25</f>
        <v>0.464879725085911</v>
      </c>
      <c r="C57" s="0" t="str">
        <f aca="false">IF(B57&lt;=0.5,"✓ Pass","⚠ High Expenses")</f>
        <v>✓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17.35" hidden="false" customHeight="false" outlineLevel="0" collapsed="false">
      <c r="A1" s="14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27" t="s">
        <v>164</v>
      </c>
      <c r="B4" s="27" t="s">
        <v>165</v>
      </c>
      <c r="C4" s="27" t="s">
        <v>166</v>
      </c>
      <c r="D4" s="27" t="s">
        <v>167</v>
      </c>
      <c r="E4" s="27" t="s">
        <v>168</v>
      </c>
      <c r="F4" s="27" t="s">
        <v>169</v>
      </c>
      <c r="G4" s="27" t="s">
        <v>170</v>
      </c>
      <c r="H4" s="27" t="s">
        <v>171</v>
      </c>
      <c r="I4" s="27" t="s">
        <v>172</v>
      </c>
      <c r="J4" s="27" t="s">
        <v>173</v>
      </c>
    </row>
    <row r="5" customFormat="false" ht="15" hidden="false" customHeight="false" outlineLevel="0" collapsed="false">
      <c r="A5" s="0" t="n">
        <v>0</v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6" t="n">
        <f aca="false">-'Acquisition Analysis'!B16</f>
        <v>9100</v>
      </c>
      <c r="I5" s="8" t="n">
        <f aca="false">H5</f>
        <v>9100</v>
      </c>
      <c r="J5" s="6" t="n">
        <f aca="false">'Inputs &amp; Assumptions'!B28</f>
        <v>284200</v>
      </c>
    </row>
    <row r="6" customFormat="false" ht="15" hidden="false" customHeight="false" outlineLevel="0" collapsed="false">
      <c r="A6" s="0" t="n">
        <v>1</v>
      </c>
      <c r="B6" s="6" t="n">
        <f aca="false">'Inputs &amp; Assumptions'!B35*12</f>
        <v>29100</v>
      </c>
      <c r="C6" s="8" t="n">
        <f aca="false">-B6*'Inputs &amp; Assumptions'!$B$38</f>
        <v>-1455</v>
      </c>
      <c r="D6" s="8" t="n">
        <f aca="false">B6+C6</f>
        <v>27645</v>
      </c>
      <c r="E6" s="6" t="n">
        <f aca="false">'Inputs &amp; Assumptions'!B50</f>
        <v>13528</v>
      </c>
      <c r="F6" s="8" t="n">
        <f aca="false">D6-E6</f>
        <v>14117</v>
      </c>
      <c r="G6" s="6" t="n">
        <f aca="false">'Inputs &amp; Assumptions'!$B$59*12</f>
        <v>17884.508699763</v>
      </c>
      <c r="H6" s="8" t="n">
        <f aca="false">F6-G6</f>
        <v>-3767.50869976299</v>
      </c>
      <c r="I6" s="8" t="n">
        <f aca="false">I5+H6</f>
        <v>5332.49130023701</v>
      </c>
      <c r="J6" s="8" t="n">
        <f aca="false">J5*(1+'Inputs &amp; Assumptions'!$B$65)</f>
        <v>295568</v>
      </c>
    </row>
    <row r="7" customFormat="false" ht="15" hidden="false" customHeight="false" outlineLevel="0" collapsed="false">
      <c r="A7" s="0" t="n">
        <v>2</v>
      </c>
      <c r="B7" s="8" t="n">
        <f aca="false">B6*(1+'Inputs &amp; Assumptions'!$B$63)</f>
        <v>29973</v>
      </c>
      <c r="C7" s="8" t="n">
        <f aca="false">-B7*'Inputs &amp; Assumptions'!$B$38</f>
        <v>-1498.65</v>
      </c>
      <c r="D7" s="8" t="n">
        <f aca="false">B7+C7</f>
        <v>28474.35</v>
      </c>
      <c r="E7" s="8" t="n">
        <f aca="false">E6*(1+'Inputs &amp; Assumptions'!$B$64)</f>
        <v>14001.48</v>
      </c>
      <c r="F7" s="8" t="n">
        <f aca="false">D7-E7</f>
        <v>14472.87</v>
      </c>
      <c r="G7" s="6" t="n">
        <f aca="false">'Inputs &amp; Assumptions'!$B$59*12</f>
        <v>17884.508699763</v>
      </c>
      <c r="H7" s="8" t="n">
        <f aca="false">F7-G7</f>
        <v>-3411.63869976299</v>
      </c>
      <c r="I7" s="8" t="n">
        <f aca="false">I6+H7</f>
        <v>1920.85260047402</v>
      </c>
      <c r="J7" s="8" t="n">
        <f aca="false">J6*(1+'Inputs &amp; Assumptions'!$B$65)</f>
        <v>307390.72</v>
      </c>
    </row>
    <row r="8" customFormat="false" ht="15" hidden="false" customHeight="false" outlineLevel="0" collapsed="false">
      <c r="A8" s="0" t="n">
        <v>3</v>
      </c>
      <c r="B8" s="8" t="n">
        <f aca="false">B7*(1+'Inputs &amp; Assumptions'!$B$63)</f>
        <v>30872.19</v>
      </c>
      <c r="C8" s="8" t="n">
        <f aca="false">-B8*'Inputs &amp; Assumptions'!$B$38</f>
        <v>-1543.6095</v>
      </c>
      <c r="D8" s="8" t="n">
        <f aca="false">B8+C8</f>
        <v>29328.5805</v>
      </c>
      <c r="E8" s="8" t="n">
        <f aca="false">E7*(1+'Inputs &amp; Assumptions'!$B$64)</f>
        <v>14491.5318</v>
      </c>
      <c r="F8" s="8" t="n">
        <f aca="false">D8-E8</f>
        <v>14837.0487</v>
      </c>
      <c r="G8" s="6" t="n">
        <f aca="false">'Inputs &amp; Assumptions'!$B$59*12</f>
        <v>17884.508699763</v>
      </c>
      <c r="H8" s="8" t="n">
        <f aca="false">F8-G8</f>
        <v>-3047.45999976299</v>
      </c>
      <c r="I8" s="8" t="n">
        <f aca="false">I7+H8</f>
        <v>-1126.60739928897</v>
      </c>
      <c r="J8" s="8" t="n">
        <f aca="false">J7*(1+'Inputs &amp; Assumptions'!$B$65)</f>
        <v>319686.3488</v>
      </c>
    </row>
    <row r="9" customFormat="false" ht="15" hidden="false" customHeight="false" outlineLevel="0" collapsed="false">
      <c r="A9" s="0" t="n">
        <v>4</v>
      </c>
      <c r="B9" s="8" t="n">
        <f aca="false">B8*(1+'Inputs &amp; Assumptions'!$B$63)</f>
        <v>31798.3557</v>
      </c>
      <c r="C9" s="8" t="n">
        <f aca="false">-B9*'Inputs &amp; Assumptions'!$B$38</f>
        <v>-1589.917785</v>
      </c>
      <c r="D9" s="8" t="n">
        <f aca="false">B9+C9</f>
        <v>30208.437915</v>
      </c>
      <c r="E9" s="8" t="n">
        <f aca="false">E8*(1+'Inputs &amp; Assumptions'!$B$64)</f>
        <v>14998.735413</v>
      </c>
      <c r="F9" s="8" t="n">
        <f aca="false">D9-E9</f>
        <v>15209.702502</v>
      </c>
      <c r="G9" s="6" t="n">
        <f aca="false">'Inputs &amp; Assumptions'!$B$59*12</f>
        <v>17884.508699763</v>
      </c>
      <c r="H9" s="8" t="n">
        <f aca="false">F9-G9</f>
        <v>-2674.80619776299</v>
      </c>
      <c r="I9" s="8" t="n">
        <f aca="false">I8+H9</f>
        <v>-3801.41359705195</v>
      </c>
      <c r="J9" s="8" t="n">
        <f aca="false">J8*(1+'Inputs &amp; Assumptions'!$B$65)</f>
        <v>332473.802752</v>
      </c>
    </row>
    <row r="10" customFormat="false" ht="15" hidden="false" customHeight="false" outlineLevel="0" collapsed="false">
      <c r="A10" s="0" t="n">
        <v>5</v>
      </c>
      <c r="B10" s="8" t="n">
        <f aca="false">B9*(1+'Inputs &amp; Assumptions'!$B$63)</f>
        <v>32752.306371</v>
      </c>
      <c r="C10" s="8" t="n">
        <f aca="false">-B10*'Inputs &amp; Assumptions'!$B$38</f>
        <v>-1637.61531855</v>
      </c>
      <c r="D10" s="8" t="n">
        <f aca="false">B10+C10</f>
        <v>31114.69105245</v>
      </c>
      <c r="E10" s="8" t="n">
        <f aca="false">E9*(1+'Inputs &amp; Assumptions'!$B$64)</f>
        <v>15523.691152455</v>
      </c>
      <c r="F10" s="8" t="n">
        <f aca="false">D10-E10</f>
        <v>15590.999899995</v>
      </c>
      <c r="G10" s="6" t="n">
        <f aca="false">'Inputs &amp; Assumptions'!$B$59*12</f>
        <v>17884.508699763</v>
      </c>
      <c r="H10" s="8" t="n">
        <f aca="false">F10-G10</f>
        <v>-2293.50879976798</v>
      </c>
      <c r="I10" s="8" t="n">
        <f aca="false">I9+H10</f>
        <v>-6094.92239681993</v>
      </c>
      <c r="J10" s="8" t="n">
        <f aca="false">J9*(1+'Inputs &amp; Assumptions'!$B$65)</f>
        <v>345772.75486208</v>
      </c>
    </row>
    <row r="11" customFormat="false" ht="15" hidden="false" customHeight="false" outlineLevel="0" collapsed="false">
      <c r="A11" s="0" t="n">
        <v>6</v>
      </c>
      <c r="B11" s="8" t="n">
        <f aca="false">B10*(1+'Inputs &amp; Assumptions'!$B$63)</f>
        <v>33734.87556213</v>
      </c>
      <c r="C11" s="8" t="n">
        <f aca="false">-B11*'Inputs &amp; Assumptions'!$B$38</f>
        <v>-1686.7437781065</v>
      </c>
      <c r="D11" s="8" t="n">
        <f aca="false">B11+C11</f>
        <v>32048.1317840235</v>
      </c>
      <c r="E11" s="8" t="n">
        <f aca="false">E10*(1+'Inputs &amp; Assumptions'!$B$64)</f>
        <v>16067.0203427909</v>
      </c>
      <c r="F11" s="8" t="n">
        <f aca="false">D11-E11</f>
        <v>15981.1114412326</v>
      </c>
      <c r="G11" s="6" t="n">
        <f aca="false">'Inputs &amp; Assumptions'!$B$59*12</f>
        <v>17884.508699763</v>
      </c>
      <c r="H11" s="8" t="n">
        <f aca="false">F11-G11</f>
        <v>-1903.39725853041</v>
      </c>
      <c r="I11" s="8" t="n">
        <f aca="false">I10+H11</f>
        <v>-7998.31965535034</v>
      </c>
      <c r="J11" s="8" t="n">
        <f aca="false">J10*(1+'Inputs &amp; Assumptions'!$B$65)</f>
        <v>359603.665056563</v>
      </c>
    </row>
    <row r="12" customFormat="false" ht="15" hidden="false" customHeight="false" outlineLevel="0" collapsed="false">
      <c r="A12" s="0" t="n">
        <v>7</v>
      </c>
      <c r="B12" s="8" t="n">
        <f aca="false">B11*(1+'Inputs &amp; Assumptions'!$B$63)</f>
        <v>34746.9218289939</v>
      </c>
      <c r="C12" s="8" t="n">
        <f aca="false">-B12*'Inputs &amp; Assumptions'!$B$38</f>
        <v>-1737.3460914497</v>
      </c>
      <c r="D12" s="8" t="n">
        <f aca="false">B12+C12</f>
        <v>33009.5757375442</v>
      </c>
      <c r="E12" s="8" t="n">
        <f aca="false">E11*(1+'Inputs &amp; Assumptions'!$B$64)</f>
        <v>16629.3660547886</v>
      </c>
      <c r="F12" s="8" t="n">
        <f aca="false">D12-E12</f>
        <v>16380.2096827556</v>
      </c>
      <c r="G12" s="6" t="n">
        <f aca="false">'Inputs &amp; Assumptions'!$B$59*12</f>
        <v>17884.508699763</v>
      </c>
      <c r="H12" s="8" t="n">
        <f aca="false">F12-G12</f>
        <v>-1504.29901700738</v>
      </c>
      <c r="I12" s="8" t="n">
        <f aca="false">I11+H12</f>
        <v>-9502.61867235772</v>
      </c>
      <c r="J12" s="8" t="n">
        <f aca="false">J11*(1+'Inputs &amp; Assumptions'!$B$65)</f>
        <v>373987.811658826</v>
      </c>
    </row>
    <row r="13" customFormat="false" ht="15" hidden="false" customHeight="false" outlineLevel="0" collapsed="false">
      <c r="A13" s="0" t="n">
        <v>8</v>
      </c>
      <c r="B13" s="8" t="n">
        <f aca="false">B12*(1+'Inputs &amp; Assumptions'!$B$63)</f>
        <v>35789.3294838637</v>
      </c>
      <c r="C13" s="8" t="n">
        <f aca="false">-B13*'Inputs &amp; Assumptions'!$B$38</f>
        <v>-1789.46647419319</v>
      </c>
      <c r="D13" s="8" t="n">
        <f aca="false">B13+C13</f>
        <v>33999.8630096705</v>
      </c>
      <c r="E13" s="8" t="n">
        <f aca="false">E12*(1+'Inputs &amp; Assumptions'!$B$64)</f>
        <v>17211.3938667062</v>
      </c>
      <c r="F13" s="8" t="n">
        <f aca="false">D13-E13</f>
        <v>16788.4691429643</v>
      </c>
      <c r="G13" s="6" t="n">
        <f aca="false">'Inputs &amp; Assumptions'!$B$59*12</f>
        <v>17884.508699763</v>
      </c>
      <c r="H13" s="8" t="n">
        <f aca="false">F13-G13</f>
        <v>-1096.03955679865</v>
      </c>
      <c r="I13" s="8" t="n">
        <f aca="false">I12+H13</f>
        <v>-10598.6582291564</v>
      </c>
      <c r="J13" s="8" t="n">
        <f aca="false">J12*(1+'Inputs &amp; Assumptions'!$B$65)</f>
        <v>388947.324125179</v>
      </c>
    </row>
    <row r="14" customFormat="false" ht="15" hidden="false" customHeight="false" outlineLevel="0" collapsed="false">
      <c r="A14" s="0" t="n">
        <v>9</v>
      </c>
      <c r="B14" s="8" t="n">
        <f aca="false">B13*(1+'Inputs &amp; Assumptions'!$B$63)</f>
        <v>36863.0093683796</v>
      </c>
      <c r="C14" s="8" t="n">
        <f aca="false">-B14*'Inputs &amp; Assumptions'!$B$38</f>
        <v>-1843.15046841898</v>
      </c>
      <c r="D14" s="8" t="n">
        <f aca="false">B14+C14</f>
        <v>35019.8588999607</v>
      </c>
      <c r="E14" s="8" t="n">
        <f aca="false">E13*(1+'Inputs &amp; Assumptions'!$B$64)</f>
        <v>17813.7926520409</v>
      </c>
      <c r="F14" s="8" t="n">
        <f aca="false">D14-E14</f>
        <v>17206.0662479197</v>
      </c>
      <c r="G14" s="6" t="n">
        <f aca="false">'Inputs &amp; Assumptions'!$B$59*12</f>
        <v>17884.508699763</v>
      </c>
      <c r="H14" s="8" t="n">
        <f aca="false">F14-G14</f>
        <v>-678.44245184325</v>
      </c>
      <c r="I14" s="8" t="n">
        <f aca="false">I13+H14</f>
        <v>-11277.1006809996</v>
      </c>
      <c r="J14" s="8" t="n">
        <f aca="false">J13*(1+'Inputs &amp; Assumptions'!$B$65)</f>
        <v>404505.217090186</v>
      </c>
    </row>
    <row r="15" customFormat="false" ht="15" hidden="false" customHeight="false" outlineLevel="0" collapsed="false">
      <c r="A15" s="0" t="n">
        <v>10</v>
      </c>
      <c r="B15" s="8" t="n">
        <f aca="false">B14*(1+'Inputs &amp; Assumptions'!$B$63)</f>
        <v>37968.899649431</v>
      </c>
      <c r="C15" s="8" t="n">
        <f aca="false">-B15*'Inputs &amp; Assumptions'!$B$38</f>
        <v>-1898.44498247155</v>
      </c>
      <c r="D15" s="8" t="n">
        <f aca="false">B15+C15</f>
        <v>36070.4546669595</v>
      </c>
      <c r="E15" s="8" t="n">
        <f aca="false">E14*(1+'Inputs &amp; Assumptions'!$B$64)</f>
        <v>18437.2753948624</v>
      </c>
      <c r="F15" s="8" t="n">
        <f aca="false">D15-E15</f>
        <v>17633.1792720971</v>
      </c>
      <c r="G15" s="6" t="n">
        <f aca="false">'Inputs &amp; Assumptions'!$B$59*12</f>
        <v>17884.508699763</v>
      </c>
      <c r="H15" s="8" t="n">
        <f aca="false">F15-G15</f>
        <v>-251.329427665853</v>
      </c>
      <c r="I15" s="8" t="n">
        <f aca="false">I14+H15</f>
        <v>-11528.4301086655</v>
      </c>
      <c r="J15" s="8" t="n">
        <f aca="false">J14*(1+'Inputs &amp; Assumptions'!$B$65)</f>
        <v>420685.425773794</v>
      </c>
    </row>
    <row r="17" customFormat="false" ht="15" hidden="false" customHeight="false" outlineLevel="0" collapsed="false">
      <c r="A17" s="3" t="s">
        <v>174</v>
      </c>
    </row>
    <row r="18" customFormat="false" ht="15" hidden="false" customHeight="false" outlineLevel="0" collapsed="false">
      <c r="A18" s="0" t="s">
        <v>175</v>
      </c>
      <c r="B18" s="8" t="n">
        <f aca="false">J15</f>
        <v>420685.425773794</v>
      </c>
    </row>
    <row r="19" customFormat="false" ht="15" hidden="false" customHeight="false" outlineLevel="0" collapsed="false">
      <c r="A19" s="0" t="s">
        <v>176</v>
      </c>
      <c r="B19" s="8" t="n">
        <f aca="false">-B18*'Inputs &amp; Assumptions'!B69</f>
        <v>-25241.1255464276</v>
      </c>
    </row>
    <row r="20" customFormat="false" ht="15" hidden="false" customHeight="false" outlineLevel="0" collapsed="false">
      <c r="A20" s="0" t="s">
        <v>177</v>
      </c>
      <c r="B20" s="8" t="n">
        <f aca="false">-B18*'Inputs &amp; Assumptions'!B70</f>
        <v>-6310.2813866069</v>
      </c>
    </row>
    <row r="21" customFormat="false" ht="15" hidden="false" customHeight="false" outlineLevel="0" collapsed="false">
      <c r="A21" s="0" t="s">
        <v>178</v>
      </c>
      <c r="B21" s="8" t="n">
        <f aca="false">SUM(B18:B20)</f>
        <v>389134.018840759</v>
      </c>
    </row>
    <row r="22" customFormat="false" ht="15" hidden="false" customHeight="false" outlineLevel="0" collapsed="false">
      <c r="A22" s="0" t="s">
        <v>179</v>
      </c>
      <c r="B22" s="6" t="n">
        <f aca="false">-'Inputs &amp; Assumptions'!B54</f>
        <v>-213150</v>
      </c>
      <c r="C22" s="28" t="s">
        <v>180</v>
      </c>
    </row>
    <row r="23" customFormat="false" ht="15" hidden="false" customHeight="false" outlineLevel="0" collapsed="false">
      <c r="A23" s="0" t="s">
        <v>181</v>
      </c>
      <c r="B23" s="20" t="n">
        <f aca="false">B21+B22</f>
        <v>175984.018840759</v>
      </c>
    </row>
    <row r="25" customFormat="false" ht="15" hidden="false" customHeight="false" outlineLevel="0" collapsed="false">
      <c r="A25" s="3" t="s">
        <v>182</v>
      </c>
    </row>
    <row r="26" customFormat="false" ht="15" hidden="false" customHeight="false" outlineLevel="0" collapsed="false">
      <c r="A26" s="0" t="s">
        <v>183</v>
      </c>
      <c r="B26" s="6" t="n">
        <f aca="false">'Acquisition Analysis'!B20</f>
        <v>204050</v>
      </c>
    </row>
    <row r="27" customFormat="false" ht="15" hidden="false" customHeight="false" outlineLevel="0" collapsed="false">
      <c r="A27" s="0" t="s">
        <v>184</v>
      </c>
      <c r="B27" s="8" t="n">
        <f aca="false">-'Inputs &amp; Assumptions'!B79*10</f>
        <v>-82676.3636363637</v>
      </c>
    </row>
    <row r="28" customFormat="false" ht="15" hidden="false" customHeight="false" outlineLevel="0" collapsed="false">
      <c r="A28" s="0" t="s">
        <v>185</v>
      </c>
      <c r="B28" s="8" t="n">
        <f aca="false">B26+B27</f>
        <v>121373.636363636</v>
      </c>
    </row>
    <row r="29" customFormat="false" ht="15" hidden="false" customHeight="false" outlineLevel="0" collapsed="false">
      <c r="A29" s="0" t="s">
        <v>186</v>
      </c>
      <c r="B29" s="8" t="n">
        <f aca="false">B18-B28</f>
        <v>299311.789410157</v>
      </c>
    </row>
    <row r="30" customFormat="false" ht="15" hidden="false" customHeight="false" outlineLevel="0" collapsed="false">
      <c r="A30" s="0" t="s">
        <v>187</v>
      </c>
      <c r="B30" s="8" t="n">
        <f aca="false">-B29*'Inputs &amp; Assumptions'!B71</f>
        <v>-59862.3578820314</v>
      </c>
    </row>
    <row r="31" customFormat="false" ht="15" hidden="false" customHeight="false" outlineLevel="0" collapsed="false">
      <c r="A31" s="0" t="s">
        <v>188</v>
      </c>
      <c r="B31" s="8" t="n">
        <f aca="false">B27*'Inputs &amp; Assumptions'!B72</f>
        <v>-20669.0909090909</v>
      </c>
    </row>
    <row r="32" customFormat="false" ht="15" hidden="false" customHeight="false" outlineLevel="0" collapsed="false">
      <c r="A32" s="0" t="s">
        <v>189</v>
      </c>
      <c r="B32" s="8" t="n">
        <f aca="false">B30+B31</f>
        <v>-80531.4487911224</v>
      </c>
    </row>
    <row r="33" customFormat="false" ht="15" hidden="false" customHeight="false" outlineLevel="0" collapsed="false">
      <c r="A33" s="0" t="s">
        <v>190</v>
      </c>
      <c r="B33" s="20" t="n">
        <f aca="false">B23+B32</f>
        <v>95452.5700496367</v>
      </c>
    </row>
    <row r="35" customFormat="false" ht="15" hidden="false" customHeight="false" outlineLevel="0" collapsed="false">
      <c r="A35" s="3" t="s">
        <v>191</v>
      </c>
    </row>
    <row r="36" customFormat="false" ht="15" hidden="false" customHeight="false" outlineLevel="0" collapsed="false">
      <c r="A36" s="0" t="s">
        <v>192</v>
      </c>
      <c r="B36" s="6" t="n">
        <f aca="false">-'Acquisition Analysis'!B16</f>
        <v>9100</v>
      </c>
    </row>
    <row r="37" customFormat="false" ht="15" hidden="false" customHeight="false" outlineLevel="0" collapsed="false">
      <c r="A37" s="0" t="s">
        <v>193</v>
      </c>
      <c r="B37" s="8" t="n">
        <f aca="false">SUM(H6:H15)</f>
        <v>-20628.4301086655</v>
      </c>
    </row>
    <row r="38" customFormat="false" ht="15" hidden="false" customHeight="false" outlineLevel="0" collapsed="false">
      <c r="A38" s="0" t="s">
        <v>194</v>
      </c>
      <c r="B38" s="8" t="n">
        <f aca="false">B33</f>
        <v>95452.5700496367</v>
      </c>
    </row>
    <row r="39" customFormat="false" ht="15" hidden="false" customHeight="false" outlineLevel="0" collapsed="false">
      <c r="A39" s="0" t="s">
        <v>195</v>
      </c>
      <c r="B39" s="20" t="n">
        <f aca="false">B37+B38-B36</f>
        <v>65724.1399409712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4" t="s">
        <v>196</v>
      </c>
    </row>
    <row r="2" customFormat="false" ht="15" hidden="false" customHeight="false" outlineLevel="0" collapsed="false">
      <c r="A2" s="2" t="s">
        <v>197</v>
      </c>
    </row>
    <row r="4" customFormat="false" ht="15" hidden="false" customHeight="false" outlineLevel="0" collapsed="false">
      <c r="A4" s="3" t="s">
        <v>198</v>
      </c>
    </row>
    <row r="5" customFormat="false" ht="15" hidden="false" customHeight="false" outlineLevel="0" collapsed="false">
      <c r="A5" s="0" t="s">
        <v>9</v>
      </c>
      <c r="B5" s="6" t="n">
        <f aca="false">'Inputs &amp; Assumptions'!B13</f>
        <v>150000</v>
      </c>
    </row>
    <row r="6" customFormat="false" ht="15" hidden="false" customHeight="false" outlineLevel="0" collapsed="false">
      <c r="A6" s="0" t="s">
        <v>130</v>
      </c>
      <c r="B6" s="6" t="n">
        <f aca="false">'Inputs &amp; Assumptions'!B22</f>
        <v>49500</v>
      </c>
    </row>
    <row r="7" customFormat="false" ht="15" hidden="false" customHeight="false" outlineLevel="0" collapsed="false">
      <c r="A7" s="0" t="s">
        <v>199</v>
      </c>
      <c r="B7" s="8" t="n">
        <f aca="false">'Inputs &amp; Assumptions'!B15+'Inputs &amp; Assumptions'!B16+'Inputs &amp; Assumptions'!B17</f>
        <v>4550</v>
      </c>
    </row>
    <row r="8" customFormat="false" ht="15" hidden="false" customHeight="false" outlineLevel="0" collapsed="false">
      <c r="A8" s="0" t="s">
        <v>200</v>
      </c>
      <c r="B8" s="8" t="n">
        <f aca="false">SUM(B5:B7)</f>
        <v>204050</v>
      </c>
    </row>
    <row r="10" customFormat="false" ht="15" hidden="false" customHeight="false" outlineLevel="0" collapsed="false">
      <c r="A10" s="0" t="s">
        <v>201</v>
      </c>
      <c r="B10" s="8" t="n">
        <f aca="false">B8*0.75</f>
        <v>153037.5</v>
      </c>
    </row>
    <row r="11" customFormat="false" ht="15" hidden="false" customHeight="false" outlineLevel="0" collapsed="false">
      <c r="A11" s="0" t="s">
        <v>202</v>
      </c>
      <c r="B11" s="19" t="n">
        <v>0.1</v>
      </c>
    </row>
    <row r="12" customFormat="false" ht="15" hidden="false" customHeight="false" outlineLevel="0" collapsed="false">
      <c r="A12" s="0" t="s">
        <v>203</v>
      </c>
      <c r="B12" s="8" t="n">
        <f aca="false">B10*0.03</f>
        <v>4591.125</v>
      </c>
    </row>
    <row r="13" customFormat="false" ht="15" hidden="false" customHeight="false" outlineLevel="0" collapsed="false">
      <c r="A13" s="0" t="s">
        <v>204</v>
      </c>
      <c r="B13" s="15" t="n">
        <v>9</v>
      </c>
    </row>
    <row r="14" customFormat="false" ht="15" hidden="false" customHeight="false" outlineLevel="0" collapsed="false">
      <c r="A14" s="0" t="s">
        <v>205</v>
      </c>
      <c r="B14" s="8" t="n">
        <f aca="false">B10*B11*B13/12</f>
        <v>11477.8125</v>
      </c>
    </row>
    <row r="15" customFormat="false" ht="15" hidden="false" customHeight="false" outlineLevel="0" collapsed="false">
      <c r="A15" s="0" t="s">
        <v>206</v>
      </c>
      <c r="B15" s="8" t="n">
        <f aca="false">B12+B14</f>
        <v>16068.9375</v>
      </c>
    </row>
    <row r="17" customFormat="false" ht="15" hidden="false" customHeight="false" outlineLevel="0" collapsed="false">
      <c r="A17" s="0" t="s">
        <v>207</v>
      </c>
      <c r="B17" s="20" t="n">
        <f aca="false">B8-B10+B15</f>
        <v>67081.4375</v>
      </c>
    </row>
    <row r="20" customFormat="false" ht="15" hidden="false" customHeight="false" outlineLevel="0" collapsed="false">
      <c r="A20" s="3" t="s">
        <v>208</v>
      </c>
    </row>
    <row r="21" customFormat="false" ht="15" hidden="false" customHeight="false" outlineLevel="0" collapsed="false">
      <c r="A21" s="0" t="s">
        <v>15</v>
      </c>
      <c r="B21" s="6" t="n">
        <f aca="false">'Inputs &amp; Assumptions'!B28</f>
        <v>284200</v>
      </c>
    </row>
    <row r="22" customFormat="false" ht="15" hidden="false" customHeight="false" outlineLevel="0" collapsed="false">
      <c r="A22" s="0" t="s">
        <v>209</v>
      </c>
      <c r="B22" s="6" t="n">
        <f aca="false">'Inputs &amp; Assumptions'!B35</f>
        <v>2425</v>
      </c>
    </row>
    <row r="23" customFormat="false" ht="15" hidden="false" customHeight="false" outlineLevel="0" collapsed="false">
      <c r="A23" s="0" t="s">
        <v>210</v>
      </c>
      <c r="B23" s="8" t="n">
        <f aca="false">B22*0.95-'Inputs &amp; Assumptions'!B49</f>
        <v>1176.41666666667</v>
      </c>
    </row>
    <row r="25" customFormat="false" ht="15" hidden="false" customHeight="false" outlineLevel="0" collapsed="false">
      <c r="A25" s="3" t="s">
        <v>211</v>
      </c>
    </row>
    <row r="26" customFormat="false" ht="15" hidden="false" customHeight="false" outlineLevel="0" collapsed="false">
      <c r="A26" s="0" t="s">
        <v>212</v>
      </c>
      <c r="B26" s="19" t="n">
        <v>0.75</v>
      </c>
    </row>
    <row r="27" customFormat="false" ht="15" hidden="false" customHeight="false" outlineLevel="0" collapsed="false">
      <c r="A27" s="0" t="s">
        <v>213</v>
      </c>
      <c r="B27" s="8" t="n">
        <f aca="false">B21*B26</f>
        <v>213150</v>
      </c>
    </row>
    <row r="28" customFormat="false" ht="15" hidden="false" customHeight="false" outlineLevel="0" collapsed="false">
      <c r="A28" s="0" t="s">
        <v>214</v>
      </c>
      <c r="B28" s="29" t="n">
        <f aca="false">'Inputs &amp; Assumptions'!B55</f>
        <v>0.075</v>
      </c>
    </row>
    <row r="29" customFormat="false" ht="15" hidden="false" customHeight="false" outlineLevel="0" collapsed="false">
      <c r="A29" s="0" t="s">
        <v>215</v>
      </c>
      <c r="B29" s="15" t="n">
        <v>30</v>
      </c>
    </row>
    <row r="30" customFormat="false" ht="15" hidden="false" customHeight="false" outlineLevel="0" collapsed="false">
      <c r="A30" s="0" t="s">
        <v>216</v>
      </c>
      <c r="B30" s="8" t="n">
        <f aca="false">PMT(B28/12,B29*12,-B27)</f>
        <v>1490.37572498025</v>
      </c>
    </row>
    <row r="32" customFormat="false" ht="15" hidden="false" customHeight="false" outlineLevel="0" collapsed="false">
      <c r="A32" s="0" t="s">
        <v>217</v>
      </c>
      <c r="B32" s="8" t="n">
        <f aca="false">B27*0.02</f>
        <v>4263</v>
      </c>
    </row>
    <row r="33" customFormat="false" ht="15" hidden="false" customHeight="false" outlineLevel="0" collapsed="false">
      <c r="A33" s="0" t="s">
        <v>218</v>
      </c>
      <c r="B33" s="8" t="n">
        <f aca="false">-B10</f>
        <v>-153037.5</v>
      </c>
    </row>
    <row r="34" customFormat="false" ht="15" hidden="false" customHeight="false" outlineLevel="0" collapsed="false">
      <c r="A34" s="0" t="s">
        <v>219</v>
      </c>
      <c r="B34" s="20" t="n">
        <f aca="false">B27+B33-B32</f>
        <v>55849.5</v>
      </c>
    </row>
    <row r="37" customFormat="false" ht="15" hidden="false" customHeight="false" outlineLevel="0" collapsed="false">
      <c r="A37" s="3" t="s">
        <v>220</v>
      </c>
    </row>
    <row r="38" customFormat="false" ht="15" hidden="false" customHeight="false" outlineLevel="0" collapsed="false">
      <c r="A38" s="0" t="s">
        <v>192</v>
      </c>
      <c r="B38" s="8" t="n">
        <f aca="false">B17</f>
        <v>67081.4375</v>
      </c>
    </row>
    <row r="39" customFormat="false" ht="15" hidden="false" customHeight="false" outlineLevel="0" collapsed="false">
      <c r="A39" s="0" t="s">
        <v>221</v>
      </c>
      <c r="B39" s="8" t="n">
        <f aca="false">B34</f>
        <v>55849.5</v>
      </c>
    </row>
    <row r="40" customFormat="false" ht="15" hidden="false" customHeight="false" outlineLevel="0" collapsed="false">
      <c r="A40" s="0" t="s">
        <v>222</v>
      </c>
      <c r="B40" s="20" t="n">
        <f aca="false">B38-B39</f>
        <v>11231.9375</v>
      </c>
    </row>
    <row r="42" customFormat="false" ht="15" hidden="false" customHeight="false" outlineLevel="0" collapsed="false">
      <c r="A42" s="0" t="s">
        <v>175</v>
      </c>
      <c r="B42" s="8" t="n">
        <f aca="false">B21</f>
        <v>284200</v>
      </c>
    </row>
    <row r="43" customFormat="false" ht="15" hidden="false" customHeight="false" outlineLevel="0" collapsed="false">
      <c r="A43" s="0" t="s">
        <v>223</v>
      </c>
      <c r="B43" s="8" t="n">
        <f aca="false">B27</f>
        <v>213150</v>
      </c>
    </row>
    <row r="44" customFormat="false" ht="15" hidden="false" customHeight="false" outlineLevel="0" collapsed="false">
      <c r="A44" s="0" t="s">
        <v>224</v>
      </c>
      <c r="B44" s="8" t="n">
        <f aca="false">B42-B43</f>
        <v>71050</v>
      </c>
    </row>
    <row r="45" customFormat="false" ht="15" hidden="false" customHeight="false" outlineLevel="0" collapsed="false">
      <c r="A45" s="0" t="s">
        <v>225</v>
      </c>
      <c r="B45" s="9" t="n">
        <f aca="false">B44/B42</f>
        <v>0.25</v>
      </c>
    </row>
    <row r="47" customFormat="false" ht="15" hidden="false" customHeight="false" outlineLevel="0" collapsed="false">
      <c r="A47" s="0" t="s">
        <v>226</v>
      </c>
      <c r="B47" s="20" t="n">
        <f aca="false">B23-B30</f>
        <v>-313.959058313583</v>
      </c>
    </row>
    <row r="48" customFormat="false" ht="15" hidden="false" customHeight="false" outlineLevel="0" collapsed="false">
      <c r="A48" s="0" t="s">
        <v>148</v>
      </c>
      <c r="B48" s="9" t="n">
        <f aca="false">IF(B40&lt;=0,999%,B47*12/B40)</f>
        <v>-0.335428210828541</v>
      </c>
      <c r="C48" s="28" t="s">
        <v>227</v>
      </c>
    </row>
    <row r="51" customFormat="false" ht="15" hidden="false" customHeight="false" outlineLevel="0" collapsed="false">
      <c r="A51" s="3" t="s">
        <v>228</v>
      </c>
    </row>
    <row r="52" customFormat="false" ht="15" hidden="false" customHeight="false" outlineLevel="0" collapsed="false">
      <c r="A52" s="11" t="s">
        <v>22</v>
      </c>
      <c r="B52" s="11" t="s">
        <v>229</v>
      </c>
      <c r="C52" s="11" t="s">
        <v>230</v>
      </c>
    </row>
    <row r="53" customFormat="false" ht="15" hidden="false" customHeight="false" outlineLevel="0" collapsed="false">
      <c r="A53" s="0" t="s">
        <v>231</v>
      </c>
      <c r="B53" s="8" t="n">
        <f aca="false">'Acquisition Analysis'!B16</f>
        <v>-9100</v>
      </c>
      <c r="C53" s="8" t="n">
        <f aca="false">B17</f>
        <v>67081.4375</v>
      </c>
    </row>
    <row r="54" customFormat="false" ht="15" hidden="false" customHeight="false" outlineLevel="0" collapsed="false">
      <c r="A54" s="0" t="s">
        <v>232</v>
      </c>
      <c r="B54" s="8" t="s">
        <v>49</v>
      </c>
      <c r="C54" s="8" t="n">
        <f aca="false">B34</f>
        <v>55849.5</v>
      </c>
    </row>
    <row r="55" customFormat="false" ht="15" hidden="false" customHeight="false" outlineLevel="0" collapsed="false">
      <c r="A55" s="0" t="s">
        <v>233</v>
      </c>
      <c r="B55" s="8" t="n">
        <f aca="false">'Acquisition Analysis'!B16</f>
        <v>-9100</v>
      </c>
      <c r="C55" s="8" t="n">
        <f aca="false">B40</f>
        <v>11231.9375</v>
      </c>
    </row>
    <row r="56" customFormat="false" ht="15" hidden="false" customHeight="false" outlineLevel="0" collapsed="false">
      <c r="A56" s="0" t="s">
        <v>234</v>
      </c>
      <c r="B56" s="8" t="n">
        <f aca="false">'Acquisition Analysis'!B40</f>
        <v>-192.709058313582</v>
      </c>
      <c r="C56" s="8" t="n">
        <f aca="false">B47</f>
        <v>-313.959058313583</v>
      </c>
    </row>
    <row r="57" customFormat="false" ht="15" hidden="false" customHeight="false" outlineLevel="0" collapsed="false">
      <c r="A57" s="0" t="s">
        <v>173</v>
      </c>
      <c r="B57" s="8" t="n">
        <f aca="false">'Inputs &amp; Assumptions'!B28</f>
        <v>284200</v>
      </c>
      <c r="C57" s="8" t="n">
        <f aca="false">B42</f>
        <v>284200</v>
      </c>
    </row>
    <row r="58" customFormat="false" ht="15" hidden="false" customHeight="false" outlineLevel="0" collapsed="false">
      <c r="A58" s="0" t="s">
        <v>235</v>
      </c>
      <c r="B58" s="8" t="n">
        <f aca="false">'Acquisition Analysis'!B19</f>
        <v>71050</v>
      </c>
      <c r="C58" s="8" t="n">
        <f aca="false">B44</f>
        <v>71050</v>
      </c>
    </row>
    <row r="59" customFormat="false" ht="15" hidden="false" customHeight="false" outlineLevel="0" collapsed="false">
      <c r="A59" s="0" t="s">
        <v>236</v>
      </c>
      <c r="B59" s="9" t="n">
        <f aca="false">'Acquisition Analysis'!B42</f>
        <v>0.25412183513879</v>
      </c>
      <c r="C59" s="9" t="n">
        <f aca="false">B48</f>
        <v>-0.335428210828541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4" t="s">
        <v>40</v>
      </c>
    </row>
    <row r="2" customFormat="false" ht="15" hidden="false" customHeight="false" outlineLevel="0" collapsed="false">
      <c r="A2" s="2" t="s">
        <v>237</v>
      </c>
    </row>
    <row r="4" customFormat="false" ht="15" hidden="false" customHeight="false" outlineLevel="0" collapsed="false">
      <c r="A4" s="11" t="s">
        <v>22</v>
      </c>
      <c r="B4" s="11" t="s">
        <v>238</v>
      </c>
      <c r="C4" s="11" t="s">
        <v>239</v>
      </c>
      <c r="D4" s="11" t="s">
        <v>52</v>
      </c>
      <c r="E4" s="11" t="s">
        <v>54</v>
      </c>
    </row>
    <row r="5" customFormat="false" ht="15" hidden="false" customHeight="false" outlineLevel="0" collapsed="false">
      <c r="A5" s="0" t="s">
        <v>42</v>
      </c>
      <c r="B5" s="0" t="s">
        <v>48</v>
      </c>
      <c r="C5" s="0" t="s">
        <v>240</v>
      </c>
      <c r="D5" s="0" t="s">
        <v>53</v>
      </c>
      <c r="E5" s="0" t="s">
        <v>55</v>
      </c>
    </row>
    <row r="6" customFormat="false" ht="15" hidden="false" customHeight="false" outlineLevel="0" collapsed="false">
      <c r="A6" s="0" t="s">
        <v>241</v>
      </c>
      <c r="B6" s="8" t="n">
        <f aca="false">'Inputs &amp; Assumptions'!B28*0.92-'Acquisition Analysis'!B14</f>
        <v>57414</v>
      </c>
      <c r="C6" s="8" t="n">
        <f aca="false">'BRRRR Scenario'!B34</f>
        <v>55849.5</v>
      </c>
      <c r="D6" s="8" t="n">
        <f aca="false">'10-Year Cash Flow'!B33</f>
        <v>95452.5700496367</v>
      </c>
      <c r="E6" s="7" t="s">
        <v>49</v>
      </c>
    </row>
    <row r="7" customFormat="false" ht="15" hidden="false" customHeight="false" outlineLevel="0" collapsed="false">
      <c r="A7" s="0" t="s">
        <v>44</v>
      </c>
      <c r="B7" s="0" t="s">
        <v>49</v>
      </c>
      <c r="C7" s="8" t="n">
        <f aca="false">'BRRRR Scenario'!B47</f>
        <v>-313.959058313583</v>
      </c>
      <c r="D7" s="8" t="n">
        <f aca="false">'10-Year Cash Flow'!G60/12</f>
        <v>0</v>
      </c>
      <c r="E7" s="8" t="n">
        <f aca="false">'10-Year Cash Flow'!G59</f>
        <v>0</v>
      </c>
    </row>
    <row r="8" customFormat="false" ht="15" hidden="false" customHeight="false" outlineLevel="0" collapsed="false">
      <c r="A8" s="0" t="s">
        <v>45</v>
      </c>
      <c r="B8" s="8" t="n">
        <f aca="false">B6</f>
        <v>57414</v>
      </c>
      <c r="C8" s="8" t="n">
        <f aca="false">C6+'10-Year Cash Flow'!B37</f>
        <v>35221.0698913345</v>
      </c>
      <c r="D8" s="8" t="n">
        <f aca="false">'10-Year Cash Flow'!B39</f>
        <v>65724.1399409712</v>
      </c>
      <c r="E8" s="7" t="s">
        <v>56</v>
      </c>
    </row>
    <row r="9" customFormat="false" ht="15" hidden="false" customHeight="false" outlineLevel="0" collapsed="false">
      <c r="A9" s="0" t="s">
        <v>46</v>
      </c>
      <c r="B9" s="9" t="n">
        <f aca="false">(B6/'Acquisition Analysis'!B16)^(12/6)-1</f>
        <v>38.8063928994083</v>
      </c>
      <c r="C9" s="7" t="s">
        <v>242</v>
      </c>
      <c r="D9" s="9" t="n">
        <f aca="false">'10-Year Cash Flow'!B41</f>
        <v>0</v>
      </c>
      <c r="E9" s="7" t="s">
        <v>243</v>
      </c>
    </row>
    <row r="10" customFormat="false" ht="15" hidden="false" customHeight="false" outlineLevel="0" collapsed="false">
      <c r="A10" s="0" t="s">
        <v>244</v>
      </c>
      <c r="B10" s="0" t="s">
        <v>245</v>
      </c>
      <c r="C10" s="0" t="s">
        <v>246</v>
      </c>
      <c r="D10" s="0" t="s">
        <v>247</v>
      </c>
      <c r="E10" s="0" t="s">
        <v>245</v>
      </c>
    </row>
    <row r="11" customFormat="false" ht="15" hidden="false" customHeight="false" outlineLevel="0" collapsed="false">
      <c r="A11" s="0" t="s">
        <v>248</v>
      </c>
      <c r="B11" s="0" t="s">
        <v>245</v>
      </c>
      <c r="C11" s="0" t="s">
        <v>247</v>
      </c>
      <c r="D11" s="0" t="s">
        <v>247</v>
      </c>
      <c r="E11" s="0" t="s">
        <v>246</v>
      </c>
    </row>
    <row r="13" customFormat="false" ht="15" hidden="false" customHeight="false" outlineLevel="0" collapsed="false">
      <c r="A13" s="3" t="s">
        <v>249</v>
      </c>
    </row>
    <row r="14" customFormat="false" ht="15" hidden="false" customHeight="false" outlineLevel="0" collapsed="false">
      <c r="A14" s="0" t="s">
        <v>250</v>
      </c>
      <c r="B14" s="0" t="s">
        <v>251</v>
      </c>
    </row>
    <row r="15" customFormat="false" ht="15" hidden="false" customHeight="false" outlineLevel="0" collapsed="false">
      <c r="B15" s="0" t="s">
        <v>252</v>
      </c>
    </row>
    <row r="16" customFormat="false" ht="15" hidden="false" customHeight="false" outlineLevel="0" collapsed="false">
      <c r="B16" s="0" t="s">
        <v>253</v>
      </c>
    </row>
    <row r="18" customFormat="false" ht="15" hidden="false" customHeight="false" outlineLevel="0" collapsed="false">
      <c r="A18" s="0" t="s">
        <v>254</v>
      </c>
      <c r="C18" s="0" t="s">
        <v>255</v>
      </c>
    </row>
    <row r="19" customFormat="false" ht="15" hidden="false" customHeight="false" outlineLevel="0" collapsed="false">
      <c r="C19" s="0" t="s">
        <v>256</v>
      </c>
    </row>
    <row r="20" customFormat="false" ht="15" hidden="false" customHeight="false" outlineLevel="0" collapsed="false">
      <c r="C20" s="0" t="s">
        <v>257</v>
      </c>
    </row>
    <row r="22" customFormat="false" ht="15" hidden="false" customHeight="false" outlineLevel="0" collapsed="false">
      <c r="A22" s="0" t="s">
        <v>258</v>
      </c>
      <c r="D22" s="0" t="s">
        <v>259</v>
      </c>
    </row>
    <row r="23" customFormat="false" ht="15" hidden="false" customHeight="false" outlineLevel="0" collapsed="false">
      <c r="D23" s="0" t="s">
        <v>260</v>
      </c>
    </row>
    <row r="24" customFormat="false" ht="15" hidden="false" customHeight="false" outlineLevel="0" collapsed="false">
      <c r="D24" s="0" t="s">
        <v>261</v>
      </c>
    </row>
    <row r="26" customFormat="false" ht="15" hidden="false" customHeight="false" outlineLevel="0" collapsed="false">
      <c r="A26" s="0" t="s">
        <v>262</v>
      </c>
      <c r="E26" s="0" t="s">
        <v>263</v>
      </c>
    </row>
    <row r="27" customFormat="false" ht="15" hidden="false" customHeight="false" outlineLevel="0" collapsed="false">
      <c r="E27" s="0" t="s">
        <v>264</v>
      </c>
    </row>
    <row r="28" customFormat="false" ht="15" hidden="false" customHeight="false" outlineLevel="0" collapsed="false">
      <c r="E28" s="0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7.35" hidden="false" customHeight="false" outlineLevel="0" collapsed="false">
      <c r="A1" s="14" t="s">
        <v>266</v>
      </c>
    </row>
    <row r="2" customFormat="false" ht="15" hidden="false" customHeight="false" outlineLevel="0" collapsed="false">
      <c r="A2" s="2" t="s">
        <v>267</v>
      </c>
    </row>
    <row r="4" customFormat="false" ht="15" hidden="false" customHeight="false" outlineLevel="0" collapsed="false">
      <c r="A4" s="3" t="s">
        <v>268</v>
      </c>
    </row>
    <row r="5" customFormat="false" ht="15" hidden="false" customHeight="false" outlineLevel="0" collapsed="false">
      <c r="A5" s="0" t="s">
        <v>269</v>
      </c>
      <c r="B5" s="6" t="n">
        <f aca="false">'Inputs &amp; Assumptions'!B35</f>
        <v>2425</v>
      </c>
    </row>
    <row r="7" customFormat="false" ht="15" hidden="false" customHeight="false" outlineLevel="0" collapsed="false">
      <c r="A7" s="11" t="s">
        <v>270</v>
      </c>
      <c r="B7" s="11" t="s">
        <v>271</v>
      </c>
      <c r="C7" s="11" t="s">
        <v>272</v>
      </c>
      <c r="D7" s="11" t="s">
        <v>273</v>
      </c>
      <c r="E7" s="11" t="s">
        <v>274</v>
      </c>
      <c r="F7" s="11" t="s">
        <v>275</v>
      </c>
    </row>
    <row r="8" customFormat="false" ht="15" hidden="false" customHeight="false" outlineLevel="0" collapsed="false">
      <c r="A8" s="0" t="s">
        <v>276</v>
      </c>
      <c r="B8" s="8" t="n">
        <f aca="false">B5*0.9</f>
        <v>2182.5</v>
      </c>
      <c r="C8" s="8" t="n">
        <f aca="false">B5*0.95</f>
        <v>2303.75</v>
      </c>
      <c r="D8" s="20" t="n">
        <f aca="false">B5</f>
        <v>2425</v>
      </c>
      <c r="E8" s="8" t="n">
        <f aca="false">B5*1.05</f>
        <v>2546.25</v>
      </c>
      <c r="F8" s="8" t="n">
        <f aca="false">B5*1.1</f>
        <v>2667.5</v>
      </c>
    </row>
    <row r="9" customFormat="false" ht="15" hidden="false" customHeight="false" outlineLevel="0" collapsed="false">
      <c r="A9" s="0" t="s">
        <v>277</v>
      </c>
      <c r="B9" s="8" t="n">
        <f aca="false">B8*12*0.95-'Inputs &amp; Assumptions'!B50</f>
        <v>11352.5</v>
      </c>
      <c r="C9" s="8" t="n">
        <f aca="false">C8*12*0.95-'Inputs &amp; Assumptions'!B50</f>
        <v>12734.75</v>
      </c>
      <c r="D9" s="8" t="n">
        <f aca="false">D8*12*0.95-'Inputs &amp; Assumptions'!B50</f>
        <v>14117</v>
      </c>
      <c r="E9" s="8" t="n">
        <f aca="false">E8*12*0.95-'Inputs &amp; Assumptions'!B50</f>
        <v>15499.25</v>
      </c>
      <c r="F9" s="8" t="n">
        <f aca="false">F8*12*0.95-'Inputs &amp; Assumptions'!B50</f>
        <v>16881.5</v>
      </c>
    </row>
    <row r="10" customFormat="false" ht="15" hidden="false" customHeight="false" outlineLevel="0" collapsed="false">
      <c r="A10" s="0" t="s">
        <v>234</v>
      </c>
      <c r="B10" s="8" t="n">
        <f aca="false">(B9-'Inputs &amp; Assumptions'!B59*12)/12</f>
        <v>-544.334058313582</v>
      </c>
      <c r="C10" s="8" t="n">
        <f aca="false">(C9-'Inputs &amp; Assumptions'!B59*12)/12</f>
        <v>-429.146558313583</v>
      </c>
      <c r="D10" s="8" t="n">
        <f aca="false">(D9-'Inputs &amp; Assumptions'!B59*12)/12</f>
        <v>-313.959058313583</v>
      </c>
      <c r="E10" s="8" t="n">
        <f aca="false">(E9-'Inputs &amp; Assumptions'!B59*12)/12</f>
        <v>-198.771558313582</v>
      </c>
      <c r="F10" s="8" t="n">
        <f aca="false">(F9-'Inputs &amp; Assumptions'!B59*12)/12</f>
        <v>-83.5840583135823</v>
      </c>
    </row>
    <row r="11" customFormat="false" ht="15" hidden="false" customHeight="false" outlineLevel="0" collapsed="false">
      <c r="A11" s="0" t="s">
        <v>236</v>
      </c>
      <c r="B11" s="9" t="n">
        <f aca="false">B10*12/'Acquisition Analysis'!B16</f>
        <v>0.717803153820109</v>
      </c>
      <c r="C11" s="9" t="n">
        <f aca="false">C10*12/'Acquisition Analysis'!B16</f>
        <v>0.565907549424504</v>
      </c>
      <c r="D11" s="9" t="n">
        <f aca="false">D10*12/'Acquisition Analysis'!B16</f>
        <v>0.4140119450289</v>
      </c>
      <c r="E11" s="9" t="n">
        <f aca="false">E10*12/'Acquisition Analysis'!B16</f>
        <v>0.262116340633296</v>
      </c>
      <c r="F11" s="9" t="n">
        <f aca="false">F10*12/'Acquisition Analysis'!B16</f>
        <v>0.110220736237691</v>
      </c>
    </row>
    <row r="14" customFormat="false" ht="15" hidden="false" customHeight="false" outlineLevel="0" collapsed="false">
      <c r="A14" s="3" t="s">
        <v>278</v>
      </c>
    </row>
    <row r="15" customFormat="false" ht="15" hidden="false" customHeight="false" outlineLevel="0" collapsed="false">
      <c r="A15" s="0" t="s">
        <v>279</v>
      </c>
      <c r="B15" s="29" t="n">
        <f aca="false">'Inputs &amp; Assumptions'!B65</f>
        <v>0.04</v>
      </c>
    </row>
    <row r="17" customFormat="false" ht="15" hidden="false" customHeight="false" outlineLevel="0" collapsed="false">
      <c r="A17" s="11" t="s">
        <v>280</v>
      </c>
      <c r="B17" s="11" t="s">
        <v>281</v>
      </c>
      <c r="C17" s="11" t="s">
        <v>282</v>
      </c>
      <c r="D17" s="11" t="s">
        <v>283</v>
      </c>
      <c r="E17" s="11" t="s">
        <v>284</v>
      </c>
      <c r="F17" s="11" t="s">
        <v>285</v>
      </c>
    </row>
    <row r="18" customFormat="false" ht="15" hidden="false" customHeight="false" outlineLevel="0" collapsed="false">
      <c r="A18" s="0" t="s">
        <v>286</v>
      </c>
      <c r="B18" s="8" t="n">
        <f aca="false">'Inputs &amp; Assumptions'!B28*(1+0.02)^10</f>
        <v>346438.21416251</v>
      </c>
      <c r="C18" s="8" t="n">
        <f aca="false">'Inputs &amp; Assumptions'!B28*(1+0.03)^10</f>
        <v>381941.0350096</v>
      </c>
      <c r="D18" s="20" t="n">
        <f aca="false">'Inputs &amp; Assumptions'!B28*(1+0.04)^10</f>
        <v>420685.425773794</v>
      </c>
      <c r="E18" s="8" t="n">
        <f aca="false">'Inputs &amp; Assumptions'!B28*(1+0.05)^10</f>
        <v>462931.852930149</v>
      </c>
      <c r="F18" s="8" t="n">
        <f aca="false">'Inputs &amp; Assumptions'!B28*(1+0.06)^10</f>
        <v>508958.915357479</v>
      </c>
    </row>
    <row r="19" customFormat="false" ht="15" hidden="false" customHeight="false" outlineLevel="0" collapsed="false">
      <c r="A19" s="0" t="s">
        <v>287</v>
      </c>
      <c r="B19" s="8" t="n">
        <f aca="false">B18-'Inputs &amp; Assumptions'!B54</f>
        <v>133288.21416251</v>
      </c>
      <c r="C19" s="8" t="n">
        <f aca="false">C18-'Inputs &amp; Assumptions'!B54</f>
        <v>168791.0350096</v>
      </c>
      <c r="D19" s="8" t="n">
        <f aca="false">D18-'Inputs &amp; Assumptions'!B54</f>
        <v>207535.425773793</v>
      </c>
      <c r="E19" s="8" t="n">
        <f aca="false">E18-'Inputs &amp; Assumptions'!B54</f>
        <v>249781.852930149</v>
      </c>
      <c r="F19" s="8" t="n">
        <f aca="false">F18-'Inputs &amp; Assumptions'!B54</f>
        <v>295808.915357479</v>
      </c>
    </row>
    <row r="20" customFormat="false" ht="15" hidden="false" customHeight="false" outlineLevel="0" collapsed="false">
      <c r="A20" s="0" t="s">
        <v>288</v>
      </c>
      <c r="B20" s="10" t="n">
        <f aca="false">B19/'Acquisition Analysis'!B16</f>
        <v>-14.6470565013747</v>
      </c>
      <c r="C20" s="10" t="n">
        <f aca="false">C19/'Acquisition Analysis'!B16</f>
        <v>-18.5484653856703</v>
      </c>
      <c r="D20" s="10" t="n">
        <f aca="false">D19/'Acquisition Analysis'!B16</f>
        <v>-22.8060907443729</v>
      </c>
      <c r="E20" s="10" t="n">
        <f aca="false">E19/'Acquisition Analysis'!B16</f>
        <v>-27.4485552670493</v>
      </c>
      <c r="F20" s="10" t="n">
        <f aca="false">F19/'Acquisition Analysis'!B16</f>
        <v>-32.5064742151076</v>
      </c>
    </row>
    <row r="23" customFormat="false" ht="15" hidden="false" customHeight="false" outlineLevel="0" collapsed="false">
      <c r="A23" s="3" t="s">
        <v>289</v>
      </c>
    </row>
    <row r="24" customFormat="false" ht="15" hidden="false" customHeight="false" outlineLevel="0" collapsed="false">
      <c r="A24" s="0" t="s">
        <v>290</v>
      </c>
      <c r="B24" s="29" t="n">
        <f aca="false">'Inputs &amp; Assumptions'!B55</f>
        <v>0.075</v>
      </c>
    </row>
    <row r="26" customFormat="false" ht="15" hidden="false" customHeight="false" outlineLevel="0" collapsed="false">
      <c r="A26" s="11" t="s">
        <v>291</v>
      </c>
      <c r="B26" s="11" t="s">
        <v>292</v>
      </c>
      <c r="C26" s="11" t="s">
        <v>28</v>
      </c>
      <c r="D26" s="11" t="s">
        <v>293</v>
      </c>
      <c r="E26" s="11" t="s">
        <v>294</v>
      </c>
      <c r="F26" s="11" t="s">
        <v>295</v>
      </c>
    </row>
    <row r="27" customFormat="false" ht="15" hidden="false" customHeight="false" outlineLevel="0" collapsed="false">
      <c r="A27" s="0" t="s">
        <v>296</v>
      </c>
      <c r="B27" s="8" t="n">
        <f aca="false">PMT(0.065/12,30*12,-'Inputs &amp; Assumptions'!B54)</f>
        <v>1347.25299207525</v>
      </c>
      <c r="C27" s="8" t="n">
        <f aca="false">PMT(0.07/12,30*12,-'Inputs &amp; Assumptions'!B54)</f>
        <v>1418.09226847443</v>
      </c>
      <c r="D27" s="20" t="n">
        <f aca="false">PMT(0.075/12,30*12,-'Inputs &amp; Assumptions'!B54)</f>
        <v>1490.37572498025</v>
      </c>
      <c r="E27" s="8" t="n">
        <f aca="false">PMT(0.08/12,30*12,-'Inputs &amp; Assumptions'!B54)</f>
        <v>1564.01918922389</v>
      </c>
      <c r="F27" s="8" t="n">
        <f aca="false">PMT(0.085/12,30*12,-'Inputs &amp; Assumptions'!B54)</f>
        <v>1638.93909026001</v>
      </c>
    </row>
    <row r="28" customFormat="false" ht="15" hidden="false" customHeight="false" outlineLevel="0" collapsed="false">
      <c r="A28" s="0" t="s">
        <v>234</v>
      </c>
      <c r="B28" s="8" t="n">
        <f aca="false">'Acquisition Analysis'!B27/12-B27</f>
        <v>-49.5863254085855</v>
      </c>
      <c r="C28" s="8" t="n">
        <f aca="false">'Acquisition Analysis'!B27/12-C27</f>
        <v>-120.425601807762</v>
      </c>
      <c r="D28" s="8" t="n">
        <f aca="false">'Acquisition Analysis'!B27/12-D27</f>
        <v>-192.709058313583</v>
      </c>
      <c r="E28" s="8" t="n">
        <f aca="false">'Acquisition Analysis'!B27/12-E27</f>
        <v>-266.352522557224</v>
      </c>
      <c r="F28" s="8" t="n">
        <f aca="false">'Acquisition Analysis'!B27/12-F27</f>
        <v>-341.272423593341</v>
      </c>
    </row>
    <row r="29" customFormat="false" ht="15" hidden="false" customHeight="false" outlineLevel="0" collapsed="false">
      <c r="A29" s="0" t="s">
        <v>236</v>
      </c>
      <c r="B29" s="9" t="n">
        <f aca="false">B28*12/'Acquisition Analysis'!B16</f>
        <v>0.0653885609783545</v>
      </c>
      <c r="C29" s="9" t="n">
        <f aca="false">C28*12/'Acquisition Analysis'!B16</f>
        <v>0.158802991394852</v>
      </c>
      <c r="D29" s="9" t="n">
        <f aca="false">D28*12/'Acquisition Analysis'!B16</f>
        <v>0.25412183513879</v>
      </c>
      <c r="E29" s="9" t="n">
        <f aca="false">E28*12/'Acquisition Analysis'!B16</f>
        <v>0.351234095679855</v>
      </c>
      <c r="F29" s="9" t="n">
        <f aca="false">F28*12/'Acquisition Analysis'!B16</f>
        <v>0.450029569573636</v>
      </c>
    </row>
    <row r="32" customFormat="false" ht="15" hidden="false" customHeight="false" outlineLevel="0" collapsed="false">
      <c r="A32" s="30" t="s">
        <v>297</v>
      </c>
    </row>
    <row r="33" customFormat="false" ht="15" hidden="false" customHeight="false" outlineLevel="0" collapsed="false">
      <c r="A33" s="0" t="s">
        <v>298</v>
      </c>
    </row>
    <row r="34" customFormat="false" ht="15" hidden="false" customHeight="false" outlineLevel="0" collapsed="false">
      <c r="A34" s="0" t="s">
        <v>299</v>
      </c>
    </row>
    <row r="35" customFormat="false" ht="15" hidden="false" customHeight="false" outlineLevel="0" collapsed="false">
      <c r="A35" s="0" t="s">
        <v>300</v>
      </c>
    </row>
    <row r="36" customFormat="false" ht="15" hidden="false" customHeight="false" outlineLevel="0" collapsed="false">
      <c r="A36" s="0" t="s">
        <v>301</v>
      </c>
    </row>
    <row r="37" customFormat="false" ht="15" hidden="false" customHeight="false" outlineLevel="0" collapsed="false">
      <c r="A37" s="0" t="s">
        <v>302</v>
      </c>
    </row>
    <row r="39" customFormat="false" ht="15" hidden="false" customHeight="false" outlineLevel="0" collapsed="false">
      <c r="A39" s="0" t="s">
        <v>303</v>
      </c>
      <c r="B39" s="8" t="n">
        <f aca="false">'Inputs &amp; Assumptions'!B35*0.9</f>
        <v>2182.5</v>
      </c>
    </row>
    <row r="40" customFormat="false" ht="15" hidden="false" customHeight="false" outlineLevel="0" collapsed="false">
      <c r="A40" s="0" t="s">
        <v>304</v>
      </c>
      <c r="B40" s="8" t="n">
        <f aca="false">B39*0.85*12</f>
        <v>22261.5</v>
      </c>
    </row>
    <row r="41" customFormat="false" ht="15" hidden="false" customHeight="false" outlineLevel="0" collapsed="false">
      <c r="A41" s="0" t="s">
        <v>305</v>
      </c>
      <c r="B41" s="8" t="n">
        <f aca="false">'Inputs &amp; Assumptions'!B50*1.25</f>
        <v>16910</v>
      </c>
    </row>
    <row r="42" customFormat="false" ht="15" hidden="false" customHeight="false" outlineLevel="0" collapsed="false">
      <c r="A42" s="0" t="s">
        <v>306</v>
      </c>
      <c r="B42" s="8" t="n">
        <f aca="false">B40-B41</f>
        <v>5351.5</v>
      </c>
    </row>
    <row r="43" customFormat="false" ht="15" hidden="false" customHeight="false" outlineLevel="0" collapsed="false">
      <c r="A43" s="0" t="s">
        <v>143</v>
      </c>
      <c r="B43" s="6" t="n">
        <f aca="false">'Inputs &amp; Assumptions'!B59*12</f>
        <v>17884.508699763</v>
      </c>
    </row>
    <row r="44" customFormat="false" ht="15" hidden="false" customHeight="false" outlineLevel="0" collapsed="false">
      <c r="A44" s="0" t="s">
        <v>307</v>
      </c>
      <c r="B44" s="20" t="n">
        <f aca="false">B42-B43</f>
        <v>-12533.008699763</v>
      </c>
    </row>
    <row r="45" customFormat="false" ht="15" hidden="false" customHeight="false" outlineLevel="0" collapsed="false">
      <c r="A45" s="0" t="s">
        <v>147</v>
      </c>
      <c r="B45" s="8" t="n">
        <f aca="false">B44/12</f>
        <v>-1044.41739164692</v>
      </c>
    </row>
    <row r="48" customFormat="false" ht="15" hidden="false" customHeight="false" outlineLevel="0" collapsed="false">
      <c r="A48" s="3" t="s">
        <v>308</v>
      </c>
    </row>
    <row r="49" customFormat="false" ht="15" hidden="false" customHeight="false" outlineLevel="0" collapsed="false">
      <c r="A49" s="0" t="s">
        <v>309</v>
      </c>
      <c r="B49" s="6" t="n">
        <f aca="false">'Inputs &amp; Assumptions'!B49+'Inputs &amp; Assumptions'!B59</f>
        <v>2617.70905831358</v>
      </c>
    </row>
    <row r="50" customFormat="false" ht="15" hidden="false" customHeight="false" outlineLevel="0" collapsed="false">
      <c r="A50" s="0" t="s">
        <v>310</v>
      </c>
      <c r="B50" s="8" t="n">
        <f aca="false">B49/0.95</f>
        <v>2755.48321927746</v>
      </c>
    </row>
    <row r="51" customFormat="false" ht="15" hidden="false" customHeight="false" outlineLevel="0" collapsed="false">
      <c r="A51" s="0" t="s">
        <v>311</v>
      </c>
      <c r="B51" s="6" t="n">
        <f aca="false">'Inputs &amp; Assumptions'!B35</f>
        <v>2425</v>
      </c>
    </row>
    <row r="52" customFormat="false" ht="15" hidden="false" customHeight="false" outlineLevel="0" collapsed="false">
      <c r="A52" s="0" t="s">
        <v>312</v>
      </c>
      <c r="B52" s="20" t="n">
        <f aca="false">B51-B50</f>
        <v>-330.483219277455</v>
      </c>
    </row>
    <row r="53" customFormat="false" ht="15" hidden="false" customHeight="false" outlineLevel="0" collapsed="false">
      <c r="A53" s="0" t="s">
        <v>313</v>
      </c>
      <c r="B53" s="9" t="n">
        <f aca="false">B52/B51</f>
        <v>-0.136281739908229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7.35" hidden="false" customHeight="false" outlineLevel="0" collapsed="false">
      <c r="A1" s="14" t="s">
        <v>314</v>
      </c>
    </row>
    <row r="2" customFormat="false" ht="15" hidden="false" customHeight="false" outlineLevel="0" collapsed="false">
      <c r="A2" s="2" t="s">
        <v>315</v>
      </c>
    </row>
    <row r="4" customFormat="false" ht="15" hidden="false" customHeight="false" outlineLevel="0" collapsed="false">
      <c r="A4" s="3" t="s">
        <v>316</v>
      </c>
    </row>
    <row r="5" customFormat="false" ht="15" hidden="false" customHeight="false" outlineLevel="0" collapsed="false">
      <c r="A5" s="0" t="s">
        <v>175</v>
      </c>
      <c r="B5" s="6" t="n">
        <f aca="false">'Inputs &amp; Assumptions'!B28</f>
        <v>284200</v>
      </c>
    </row>
    <row r="6" customFormat="false" ht="15" hidden="false" customHeight="false" outlineLevel="0" collapsed="false">
      <c r="A6" s="0" t="s">
        <v>317</v>
      </c>
      <c r="B6" s="8" t="n">
        <f aca="false">B5*'Inputs &amp; Assumptions'!B76</f>
        <v>56840</v>
      </c>
    </row>
    <row r="7" customFormat="false" ht="15" hidden="false" customHeight="false" outlineLevel="0" collapsed="false">
      <c r="A7" s="0" t="s">
        <v>318</v>
      </c>
      <c r="B7" s="8" t="n">
        <f aca="false">B5-B6</f>
        <v>227360</v>
      </c>
    </row>
    <row r="8" customFormat="false" ht="15" hidden="false" customHeight="false" outlineLevel="0" collapsed="false">
      <c r="A8" s="0" t="s">
        <v>319</v>
      </c>
      <c r="B8" s="31" t="n">
        <f aca="false">'Inputs &amp; Assumptions'!B78</f>
        <v>27.5</v>
      </c>
    </row>
    <row r="9" customFormat="false" ht="15" hidden="false" customHeight="false" outlineLevel="0" collapsed="false">
      <c r="A9" s="0" t="s">
        <v>121</v>
      </c>
      <c r="B9" s="20" t="n">
        <f aca="false">B7/B8</f>
        <v>8267.63636363636</v>
      </c>
    </row>
    <row r="12" customFormat="false" ht="15" hidden="false" customHeight="false" outlineLevel="0" collapsed="false">
      <c r="A12" s="3" t="s">
        <v>320</v>
      </c>
    </row>
    <row r="13" customFormat="false" ht="15" hidden="false" customHeight="false" outlineLevel="0" collapsed="false">
      <c r="A13" s="11" t="s">
        <v>164</v>
      </c>
      <c r="B13" s="11" t="s">
        <v>321</v>
      </c>
      <c r="C13" s="11" t="s">
        <v>322</v>
      </c>
      <c r="D13" s="11" t="s">
        <v>323</v>
      </c>
    </row>
    <row r="14" customFormat="false" ht="15" hidden="false" customHeight="false" outlineLevel="0" collapsed="false">
      <c r="A14" s="0" t="n">
        <v>1</v>
      </c>
      <c r="B14" s="8" t="n">
        <f aca="false">$B$9</f>
        <v>8267.63636363636</v>
      </c>
      <c r="C14" s="8" t="n">
        <f aca="false">B14</f>
        <v>8267.63636363636</v>
      </c>
      <c r="D14" s="8" t="n">
        <f aca="false">$B$7-C14</f>
        <v>219092.363636364</v>
      </c>
    </row>
    <row r="15" customFormat="false" ht="15" hidden="false" customHeight="false" outlineLevel="0" collapsed="false">
      <c r="A15" s="0" t="n">
        <v>2</v>
      </c>
      <c r="B15" s="8" t="n">
        <f aca="false">$B$9</f>
        <v>8267.63636363636</v>
      </c>
      <c r="C15" s="8" t="n">
        <f aca="false">C14+B15</f>
        <v>16535.2727272727</v>
      </c>
      <c r="D15" s="8" t="n">
        <f aca="false">$B$7-C15</f>
        <v>210824.727272727</v>
      </c>
    </row>
    <row r="16" customFormat="false" ht="15" hidden="false" customHeight="false" outlineLevel="0" collapsed="false">
      <c r="A16" s="0" t="n">
        <v>3</v>
      </c>
      <c r="B16" s="8" t="n">
        <f aca="false">$B$9</f>
        <v>8267.63636363636</v>
      </c>
      <c r="C16" s="8" t="n">
        <f aca="false">C15+B16</f>
        <v>24802.9090909091</v>
      </c>
      <c r="D16" s="8" t="n">
        <f aca="false">$B$7-C16</f>
        <v>202557.090909091</v>
      </c>
    </row>
    <row r="17" customFormat="false" ht="15" hidden="false" customHeight="false" outlineLevel="0" collapsed="false">
      <c r="A17" s="0" t="n">
        <v>4</v>
      </c>
      <c r="B17" s="8" t="n">
        <f aca="false">$B$9</f>
        <v>8267.63636363636</v>
      </c>
      <c r="C17" s="8" t="n">
        <f aca="false">C16+B17</f>
        <v>33070.5454545455</v>
      </c>
      <c r="D17" s="8" t="n">
        <f aca="false">$B$7-C17</f>
        <v>194289.454545455</v>
      </c>
    </row>
    <row r="18" customFormat="false" ht="15" hidden="false" customHeight="false" outlineLevel="0" collapsed="false">
      <c r="A18" s="0" t="n">
        <v>5</v>
      </c>
      <c r="B18" s="8" t="n">
        <f aca="false">$B$9</f>
        <v>8267.63636363636</v>
      </c>
      <c r="C18" s="8" t="n">
        <f aca="false">C17+B18</f>
        <v>41338.1818181818</v>
      </c>
      <c r="D18" s="8" t="n">
        <f aca="false">$B$7-C18</f>
        <v>186021.818181818</v>
      </c>
    </row>
    <row r="19" customFormat="false" ht="15" hidden="false" customHeight="false" outlineLevel="0" collapsed="false">
      <c r="A19" s="0" t="n">
        <v>6</v>
      </c>
      <c r="B19" s="8" t="n">
        <f aca="false">$B$9</f>
        <v>8267.63636363636</v>
      </c>
      <c r="C19" s="8" t="n">
        <f aca="false">C18+B19</f>
        <v>49605.8181818182</v>
      </c>
      <c r="D19" s="8" t="n">
        <f aca="false">$B$7-C19</f>
        <v>177754.181818182</v>
      </c>
    </row>
    <row r="20" customFormat="false" ht="15" hidden="false" customHeight="false" outlineLevel="0" collapsed="false">
      <c r="A20" s="0" t="n">
        <v>7</v>
      </c>
      <c r="B20" s="8" t="n">
        <f aca="false">$B$9</f>
        <v>8267.63636363636</v>
      </c>
      <c r="C20" s="8" t="n">
        <f aca="false">C19+B20</f>
        <v>57873.4545454546</v>
      </c>
      <c r="D20" s="8" t="n">
        <f aca="false">$B$7-C20</f>
        <v>169486.545454545</v>
      </c>
    </row>
    <row r="21" customFormat="false" ht="15" hidden="false" customHeight="false" outlineLevel="0" collapsed="false">
      <c r="A21" s="0" t="n">
        <v>8</v>
      </c>
      <c r="B21" s="8" t="n">
        <f aca="false">$B$9</f>
        <v>8267.63636363636</v>
      </c>
      <c r="C21" s="8" t="n">
        <f aca="false">C20+B21</f>
        <v>66141.0909090909</v>
      </c>
      <c r="D21" s="8" t="n">
        <f aca="false">$B$7-C21</f>
        <v>161218.909090909</v>
      </c>
    </row>
    <row r="22" customFormat="false" ht="15" hidden="false" customHeight="false" outlineLevel="0" collapsed="false">
      <c r="A22" s="0" t="n">
        <v>9</v>
      </c>
      <c r="B22" s="8" t="n">
        <f aca="false">$B$9</f>
        <v>8267.63636363636</v>
      </c>
      <c r="C22" s="8" t="n">
        <f aca="false">C21+B22</f>
        <v>74408.7272727273</v>
      </c>
      <c r="D22" s="8" t="n">
        <f aca="false">$B$7-C22</f>
        <v>152951.272727273</v>
      </c>
    </row>
    <row r="23" customFormat="false" ht="15" hidden="false" customHeight="false" outlineLevel="0" collapsed="false">
      <c r="A23" s="0" t="n">
        <v>10</v>
      </c>
      <c r="B23" s="8" t="n">
        <f aca="false">$B$9</f>
        <v>8267.63636363636</v>
      </c>
      <c r="C23" s="8" t="n">
        <f aca="false">C22+B23</f>
        <v>82676.3636363637</v>
      </c>
      <c r="D23" s="8" t="n">
        <f aca="false">$B$7-C23</f>
        <v>144683.636363636</v>
      </c>
    </row>
    <row r="25" customFormat="false" ht="15" hidden="false" customHeight="false" outlineLevel="0" collapsed="false">
      <c r="A25" s="3" t="s">
        <v>324</v>
      </c>
    </row>
    <row r="26" customFormat="false" ht="15" hidden="false" customHeight="false" outlineLevel="0" collapsed="false">
      <c r="A26" s="0" t="s">
        <v>35</v>
      </c>
      <c r="B26" s="6" t="n">
        <f aca="false">'Acquisition Analysis'!B27</f>
        <v>15572</v>
      </c>
    </row>
    <row r="27" customFormat="false" ht="15" hidden="false" customHeight="false" outlineLevel="0" collapsed="false">
      <c r="A27" s="0" t="s">
        <v>325</v>
      </c>
      <c r="B27" s="8" t="n">
        <f aca="false">-'Inputs &amp; Assumptions'!B54*'Inputs &amp; Assumptions'!B55</f>
        <v>-15986.25</v>
      </c>
    </row>
    <row r="28" customFormat="false" ht="15" hidden="false" customHeight="false" outlineLevel="0" collapsed="false">
      <c r="A28" s="0" t="s">
        <v>326</v>
      </c>
      <c r="B28" s="8" t="n">
        <f aca="false">-B9</f>
        <v>-8267.63636363636</v>
      </c>
    </row>
    <row r="29" customFormat="false" ht="15" hidden="false" customHeight="false" outlineLevel="0" collapsed="false">
      <c r="A29" s="0" t="s">
        <v>327</v>
      </c>
      <c r="B29" s="18" t="n">
        <v>0</v>
      </c>
    </row>
    <row r="31" customFormat="false" ht="15" hidden="false" customHeight="false" outlineLevel="0" collapsed="false">
      <c r="A31" s="0" t="s">
        <v>328</v>
      </c>
      <c r="B31" s="20" t="n">
        <f aca="false">SUM(B26:B29)</f>
        <v>-8681.88636363637</v>
      </c>
    </row>
    <row r="33" customFormat="false" ht="15" hidden="false" customHeight="false" outlineLevel="0" collapsed="false">
      <c r="A33" s="0" t="s">
        <v>122</v>
      </c>
      <c r="B33" s="29" t="n">
        <f aca="false">'Inputs &amp; Assumptions'!B80</f>
        <v>0.35</v>
      </c>
    </row>
    <row r="34" customFormat="false" ht="15" hidden="false" customHeight="false" outlineLevel="0" collapsed="false">
      <c r="A34" s="0" t="s">
        <v>329</v>
      </c>
      <c r="B34" s="20" t="n">
        <f aca="false">B31*B33</f>
        <v>-3038.66022727273</v>
      </c>
    </row>
    <row r="36" customFormat="false" ht="15" hidden="false" customHeight="false" outlineLevel="0" collapsed="false">
      <c r="A36" s="0" t="s">
        <v>330</v>
      </c>
      <c r="B36" s="6" t="n">
        <f aca="false">'Acquisition Analysis'!B39</f>
        <v>-2312.50869976299</v>
      </c>
    </row>
    <row r="37" customFormat="false" ht="15" hidden="false" customHeight="false" outlineLevel="0" collapsed="false">
      <c r="A37" s="0" t="s">
        <v>331</v>
      </c>
      <c r="B37" s="8" t="n">
        <f aca="false">-B34</f>
        <v>3038.66022727273</v>
      </c>
    </row>
    <row r="38" customFormat="false" ht="15" hidden="false" customHeight="false" outlineLevel="0" collapsed="false">
      <c r="A38" s="0" t="s">
        <v>332</v>
      </c>
      <c r="B38" s="20" t="n">
        <f aca="false">B36+B37</f>
        <v>726.151527509738</v>
      </c>
    </row>
    <row r="41" customFormat="false" ht="15" hidden="false" customHeight="false" outlineLevel="0" collapsed="false">
      <c r="A41" s="3" t="s">
        <v>333</v>
      </c>
    </row>
    <row r="42" customFormat="false" ht="15" hidden="false" customHeight="false" outlineLevel="0" collapsed="false">
      <c r="A42" s="0" t="s">
        <v>334</v>
      </c>
      <c r="B42" s="6" t="n">
        <f aca="false">'10-Year Cash Flow'!B18</f>
        <v>420685.425773794</v>
      </c>
    </row>
    <row r="43" customFormat="false" ht="15" hidden="false" customHeight="false" outlineLevel="0" collapsed="false">
      <c r="A43" s="0" t="s">
        <v>185</v>
      </c>
      <c r="B43" s="6" t="n">
        <f aca="false">'10-Year Cash Flow'!B28</f>
        <v>121373.636363636</v>
      </c>
    </row>
    <row r="44" customFormat="false" ht="15" hidden="false" customHeight="false" outlineLevel="0" collapsed="false">
      <c r="A44" s="0" t="s">
        <v>186</v>
      </c>
      <c r="B44" s="8" t="n">
        <f aca="false">B42-B43</f>
        <v>299311.789410157</v>
      </c>
    </row>
    <row r="46" customFormat="false" ht="15" hidden="false" customHeight="false" outlineLevel="0" collapsed="false">
      <c r="A46" s="0" t="s">
        <v>335</v>
      </c>
      <c r="B46" s="6" t="n">
        <f aca="false">'10-Year Cash Flow'!B32</f>
        <v>-80531.4487911224</v>
      </c>
    </row>
    <row r="47" customFormat="false" ht="15" hidden="false" customHeight="false" outlineLevel="0" collapsed="false">
      <c r="A47" s="0" t="s">
        <v>336</v>
      </c>
      <c r="B47" s="0" t="s">
        <v>49</v>
      </c>
    </row>
    <row r="48" customFormat="false" ht="15" hidden="false" customHeight="false" outlineLevel="0" collapsed="false">
      <c r="A48" s="0" t="s">
        <v>337</v>
      </c>
      <c r="B48" s="20" t="n">
        <f aca="false">B46-B47</f>
        <v>-80531.4487911224</v>
      </c>
    </row>
    <row r="50" customFormat="false" ht="15" hidden="false" customHeight="false" outlineLevel="0" collapsed="false">
      <c r="A50" s="0" t="s">
        <v>338</v>
      </c>
    </row>
    <row r="51" customFormat="false" ht="15" hidden="false" customHeight="false" outlineLevel="0" collapsed="false">
      <c r="A51" s="0" t="s">
        <v>339</v>
      </c>
    </row>
    <row r="52" customFormat="false" ht="15" hidden="false" customHeight="false" outlineLevel="0" collapsed="false">
      <c r="A52" s="0" t="s">
        <v>340</v>
      </c>
    </row>
    <row r="53" customFormat="false" ht="15" hidden="false" customHeight="false" outlineLevel="0" collapsed="false">
      <c r="A53" s="0" t="s">
        <v>341</v>
      </c>
    </row>
    <row r="54" customFormat="false" ht="15" hidden="false" customHeight="false" outlineLevel="0" collapsed="false">
      <c r="A54" s="0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7.35" hidden="false" customHeight="false" outlineLevel="0" collapsed="false">
      <c r="A1" s="14" t="s">
        <v>343</v>
      </c>
    </row>
    <row r="2" customFormat="false" ht="15" hidden="false" customHeight="false" outlineLevel="0" collapsed="false">
      <c r="A2" s="2" t="s">
        <v>344</v>
      </c>
    </row>
    <row r="4" customFormat="false" ht="15" hidden="false" customHeight="false" outlineLevel="0" collapsed="false">
      <c r="A4" s="3" t="s">
        <v>345</v>
      </c>
    </row>
    <row r="5" customFormat="false" ht="15" hidden="false" customHeight="false" outlineLevel="0" collapsed="false">
      <c r="A5" s="11" t="s">
        <v>164</v>
      </c>
      <c r="B5" s="11" t="s">
        <v>346</v>
      </c>
      <c r="C5" s="11" t="s">
        <v>347</v>
      </c>
      <c r="D5" s="11" t="s">
        <v>348</v>
      </c>
      <c r="E5" s="11" t="s">
        <v>349</v>
      </c>
      <c r="F5" s="11" t="s">
        <v>287</v>
      </c>
    </row>
    <row r="6" customFormat="false" ht="15" hidden="false" customHeight="false" outlineLevel="0" collapsed="false">
      <c r="A6" s="0" t="n">
        <v>0</v>
      </c>
      <c r="B6" s="0" t="n">
        <v>0</v>
      </c>
      <c r="C6" s="8" t="n">
        <v>0</v>
      </c>
      <c r="D6" s="8" t="n">
        <v>0</v>
      </c>
      <c r="E6" s="8" t="n">
        <v>0</v>
      </c>
      <c r="F6" s="8" t="n">
        <v>0</v>
      </c>
    </row>
    <row r="7" customFormat="false" ht="15" hidden="false" customHeight="false" outlineLevel="0" collapsed="false">
      <c r="A7" s="0" t="n">
        <v>1</v>
      </c>
      <c r="B7" s="0" t="n">
        <v>1</v>
      </c>
      <c r="C7" s="8" t="n">
        <f aca="false">'Inputs &amp; Assumptions'!$B$35*B7*12*(1+'Inputs &amp; Assumptions'!$B$63)^(A7-1)</f>
        <v>29100</v>
      </c>
      <c r="D7" s="8" t="n">
        <f aca="false">'Acquisition Analysis'!$B$39*B7*(1+'Inputs &amp; Assumptions'!$B$63)^(A7-1)</f>
        <v>-2312.50869976299</v>
      </c>
      <c r="E7" s="8" t="n">
        <f aca="false">'Inputs &amp; Assumptions'!$B$28*B7*(1+'Inputs &amp; Assumptions'!$B$65)^(A7-1)</f>
        <v>284200</v>
      </c>
      <c r="F7" s="8" t="n">
        <f aca="false">(E7-'Inputs &amp; Assumptions'!$B$54*B7)</f>
        <v>71050</v>
      </c>
    </row>
    <row r="8" customFormat="false" ht="15" hidden="false" customHeight="false" outlineLevel="0" collapsed="false">
      <c r="A8" s="0" t="n">
        <v>2</v>
      </c>
      <c r="B8" s="0" t="n">
        <v>2</v>
      </c>
      <c r="C8" s="8" t="n">
        <f aca="false">'Inputs &amp; Assumptions'!$B$35*B8*12*(1+'Inputs &amp; Assumptions'!$B$63)^(A8-1)</f>
        <v>59946</v>
      </c>
      <c r="D8" s="8" t="n">
        <f aca="false">'Acquisition Analysis'!$B$39*B8*(1+'Inputs &amp; Assumptions'!$B$63)^(A8-1)</f>
        <v>-4763.76792151176</v>
      </c>
      <c r="E8" s="8" t="n">
        <f aca="false">'Inputs &amp; Assumptions'!$B$28*B8*(1+'Inputs &amp; Assumptions'!$B$65)^(A8-1)</f>
        <v>591136</v>
      </c>
      <c r="F8" s="8" t="n">
        <f aca="false">(E8-'Inputs &amp; Assumptions'!$B$54*B8)</f>
        <v>164836</v>
      </c>
    </row>
    <row r="9" customFormat="false" ht="15" hidden="false" customHeight="false" outlineLevel="0" collapsed="false">
      <c r="A9" s="0" t="n">
        <v>3</v>
      </c>
      <c r="B9" s="0" t="n">
        <v>3</v>
      </c>
      <c r="C9" s="8" t="n">
        <f aca="false">'Inputs &amp; Assumptions'!$B$35*B9*12*(1+'Inputs &amp; Assumptions'!$B$63)^(A9-1)</f>
        <v>92616.57</v>
      </c>
      <c r="D9" s="8" t="n">
        <f aca="false">'Acquisition Analysis'!$B$39*B9*(1+'Inputs &amp; Assumptions'!$B$63)^(A9-1)</f>
        <v>-7360.02143873567</v>
      </c>
      <c r="E9" s="8" t="n">
        <f aca="false">'Inputs &amp; Assumptions'!$B$28*B9*(1+'Inputs &amp; Assumptions'!$B$65)^(A9-1)</f>
        <v>922172.16</v>
      </c>
      <c r="F9" s="8" t="n">
        <f aca="false">(E9-'Inputs &amp; Assumptions'!$B$54*B9)</f>
        <v>282722.16</v>
      </c>
    </row>
    <row r="10" customFormat="false" ht="15" hidden="false" customHeight="false" outlineLevel="0" collapsed="false">
      <c r="A10" s="0" t="n">
        <v>4</v>
      </c>
      <c r="B10" s="0" t="n">
        <v>4</v>
      </c>
      <c r="C10" s="8" t="n">
        <f aca="false">'Inputs &amp; Assumptions'!$B$35*B10*12*(1+'Inputs &amp; Assumptions'!$B$63)^(A10-1)</f>
        <v>127193.4228</v>
      </c>
      <c r="D10" s="8" t="n">
        <f aca="false">'Acquisition Analysis'!$B$39*B10*(1+'Inputs &amp; Assumptions'!$B$63)^(A10-1)</f>
        <v>-10107.7627758637</v>
      </c>
      <c r="E10" s="8" t="n">
        <f aca="false">'Inputs &amp; Assumptions'!$B$28*B10*(1+'Inputs &amp; Assumptions'!$B$65)^(A10-1)</f>
        <v>1278745.3952</v>
      </c>
      <c r="F10" s="8" t="n">
        <f aca="false">(E10-'Inputs &amp; Assumptions'!$B$54*B10)</f>
        <v>426145.3952</v>
      </c>
    </row>
    <row r="11" customFormat="false" ht="15" hidden="false" customHeight="false" outlineLevel="0" collapsed="false">
      <c r="A11" s="0" t="n">
        <v>5</v>
      </c>
      <c r="B11" s="0" t="n">
        <v>5</v>
      </c>
      <c r="C11" s="8" t="n">
        <f aca="false">'Inputs &amp; Assumptions'!$B$35*B11*12*(1+'Inputs &amp; Assumptions'!$B$63)^(A11-1)</f>
        <v>163761.531855</v>
      </c>
      <c r="D11" s="8" t="n">
        <f aca="false">'Acquisition Analysis'!$B$39*B11*(1+'Inputs &amp; Assumptions'!$B$63)^(A11-1)</f>
        <v>-13013.7445739245</v>
      </c>
      <c r="E11" s="8" t="n">
        <f aca="false">'Inputs &amp; Assumptions'!$B$28*B11*(1+'Inputs &amp; Assumptions'!$B$65)^(A11-1)</f>
        <v>1662369.01376</v>
      </c>
      <c r="F11" s="8" t="n">
        <f aca="false">(E11-'Inputs &amp; Assumptions'!$B$54*B11)</f>
        <v>596619.01376</v>
      </c>
    </row>
    <row r="12" customFormat="false" ht="15" hidden="false" customHeight="false" outlineLevel="0" collapsed="false">
      <c r="A12" s="0" t="n">
        <v>6</v>
      </c>
      <c r="B12" s="0" t="n">
        <v>6</v>
      </c>
      <c r="C12" s="8" t="n">
        <f aca="false">'Inputs &amp; Assumptions'!$B$35*B12*12*(1+'Inputs &amp; Assumptions'!$B$63)^(A12-1)</f>
        <v>202409.25337278</v>
      </c>
      <c r="D12" s="8" t="n">
        <f aca="false">'Acquisition Analysis'!$B$39*B12*(1+'Inputs &amp; Assumptions'!$B$63)^(A12-1)</f>
        <v>-16084.9882933706</v>
      </c>
      <c r="E12" s="8" t="n">
        <f aca="false">'Inputs &amp; Assumptions'!$B$28*B12*(1+'Inputs &amp; Assumptions'!$B$65)^(A12-1)</f>
        <v>2074636.52917248</v>
      </c>
      <c r="F12" s="8" t="n">
        <f aca="false">(E12-'Inputs &amp; Assumptions'!$B$54*B12)</f>
        <v>795736.52917248</v>
      </c>
    </row>
    <row r="13" customFormat="false" ht="15" hidden="false" customHeight="false" outlineLevel="0" collapsed="false">
      <c r="A13" s="0" t="n">
        <v>7</v>
      </c>
      <c r="B13" s="0" t="n">
        <v>7</v>
      </c>
      <c r="C13" s="8" t="n">
        <f aca="false">'Inputs &amp; Assumptions'!$B$35*B13*12*(1+'Inputs &amp; Assumptions'!$B$63)^(A13-1)</f>
        <v>243228.452802957</v>
      </c>
      <c r="D13" s="8" t="n">
        <f aca="false">'Acquisition Analysis'!$B$39*B13*(1+'Inputs &amp; Assumptions'!$B$63)^(A13-1)</f>
        <v>-19328.794265867</v>
      </c>
      <c r="E13" s="8" t="n">
        <f aca="false">'Inputs &amp; Assumptions'!$B$28*B13*(1+'Inputs &amp; Assumptions'!$B$65)^(A13-1)</f>
        <v>2517225.65539594</v>
      </c>
      <c r="F13" s="8" t="n">
        <f aca="false">(E13-'Inputs &amp; Assumptions'!$B$54*B13)</f>
        <v>1025175.65539594</v>
      </c>
    </row>
    <row r="14" customFormat="false" ht="15" hidden="false" customHeight="false" outlineLevel="0" collapsed="false">
      <c r="A14" s="0" t="n">
        <v>8</v>
      </c>
      <c r="B14" s="0" t="n">
        <v>8</v>
      </c>
      <c r="C14" s="8" t="n">
        <f aca="false">'Inputs &amp; Assumptions'!$B$35*B14*12*(1+'Inputs &amp; Assumptions'!$B$63)^(A14-1)</f>
        <v>286314.63587091</v>
      </c>
      <c r="D14" s="8" t="n">
        <f aca="false">'Acquisition Analysis'!$B$39*B14*(1+'Inputs &amp; Assumptions'!$B$63)^(A14-1)</f>
        <v>-22752.7521072492</v>
      </c>
      <c r="E14" s="8" t="n">
        <f aca="false">'Inputs &amp; Assumptions'!$B$28*B14*(1+'Inputs &amp; Assumptions'!$B$65)^(A14-1)</f>
        <v>2991902.49327061</v>
      </c>
      <c r="F14" s="8" t="n">
        <f aca="false">(E14-'Inputs &amp; Assumptions'!$B$54*B14)</f>
        <v>1286702.49327061</v>
      </c>
    </row>
    <row r="15" customFormat="false" ht="15" hidden="false" customHeight="false" outlineLevel="0" collapsed="false">
      <c r="A15" s="0" t="n">
        <v>9</v>
      </c>
      <c r="B15" s="0" t="n">
        <v>9</v>
      </c>
      <c r="C15" s="8" t="n">
        <f aca="false">'Inputs &amp; Assumptions'!$B$35*B15*12*(1+'Inputs &amp; Assumptions'!$B$63)^(A15-1)</f>
        <v>331767.084315417</v>
      </c>
      <c r="D15" s="8" t="n">
        <f aca="false">'Acquisition Analysis'!$B$39*B15*(1+'Inputs &amp; Assumptions'!$B$63)^(A15-1)</f>
        <v>-26364.751504275</v>
      </c>
      <c r="E15" s="8" t="n">
        <f aca="false">'Inputs &amp; Assumptions'!$B$28*B15*(1+'Inputs &amp; Assumptions'!$B$65)^(A15-1)</f>
        <v>3500525.91712661</v>
      </c>
      <c r="F15" s="8" t="n">
        <f aca="false">(E15-'Inputs &amp; Assumptions'!$B$54*B15)</f>
        <v>1582175.91712661</v>
      </c>
    </row>
    <row r="16" customFormat="false" ht="15" hidden="false" customHeight="false" outlineLevel="0" collapsed="false">
      <c r="A16" s="0" t="n">
        <v>10</v>
      </c>
      <c r="B16" s="0" t="n">
        <v>10</v>
      </c>
      <c r="C16" s="8" t="n">
        <f aca="false">'Inputs &amp; Assumptions'!$B$35*B16*12*(1+'Inputs &amp; Assumptions'!$B$63)^(A16-1)</f>
        <v>379688.99649431</v>
      </c>
      <c r="D16" s="8" t="n">
        <f aca="false">'Acquisition Analysis'!$B$39*B16*(1+'Inputs &amp; Assumptions'!$B$63)^(A16-1)</f>
        <v>-30172.9933882258</v>
      </c>
      <c r="E16" s="8" t="n">
        <f aca="false">'Inputs &amp; Assumptions'!$B$28*B16*(1+'Inputs &amp; Assumptions'!$B$65)^(A16-1)</f>
        <v>4045052.17090186</v>
      </c>
      <c r="F16" s="8" t="n">
        <f aca="false">(E16-'Inputs &amp; Assumptions'!$B$54*B16)</f>
        <v>1913552.17090186</v>
      </c>
    </row>
    <row r="18" customFormat="false" ht="15" hidden="false" customHeight="false" outlineLevel="0" collapsed="false">
      <c r="A18" s="3" t="s">
        <v>350</v>
      </c>
    </row>
    <row r="19" customFormat="false" ht="15" hidden="false" customHeight="false" outlineLevel="0" collapsed="false">
      <c r="A19" s="0" t="s">
        <v>351</v>
      </c>
      <c r="B19" s="22" t="n">
        <f aca="false">B16</f>
        <v>10</v>
      </c>
    </row>
    <row r="20" customFormat="false" ht="15" hidden="false" customHeight="false" outlineLevel="0" collapsed="false">
      <c r="A20" s="0" t="s">
        <v>147</v>
      </c>
      <c r="B20" s="8" t="n">
        <f aca="false">D16/12</f>
        <v>-2514.41611568549</v>
      </c>
    </row>
    <row r="21" customFormat="false" ht="15" hidden="false" customHeight="false" outlineLevel="0" collapsed="false">
      <c r="A21" s="0" t="s">
        <v>146</v>
      </c>
      <c r="B21" s="8" t="n">
        <f aca="false">D16</f>
        <v>-30172.9933882258</v>
      </c>
    </row>
    <row r="22" customFormat="false" ht="15" hidden="false" customHeight="false" outlineLevel="0" collapsed="false">
      <c r="A22" s="0" t="s">
        <v>352</v>
      </c>
      <c r="B22" s="8" t="n">
        <f aca="false">E16</f>
        <v>4045052.17090186</v>
      </c>
    </row>
    <row r="23" customFormat="false" ht="15" hidden="false" customHeight="false" outlineLevel="0" collapsed="false">
      <c r="A23" s="0" t="s">
        <v>353</v>
      </c>
      <c r="B23" s="8" t="n">
        <f aca="false">F16</f>
        <v>1913552.17090186</v>
      </c>
    </row>
    <row r="24" customFormat="false" ht="15" hidden="false" customHeight="false" outlineLevel="0" collapsed="false">
      <c r="A24" s="0" t="s">
        <v>354</v>
      </c>
      <c r="B24" s="8" t="n">
        <f aca="false">E16-F16</f>
        <v>2131500</v>
      </c>
    </row>
    <row r="27" customFormat="false" ht="15" hidden="false" customHeight="false" outlineLevel="0" collapsed="false">
      <c r="A27" s="3" t="s">
        <v>355</v>
      </c>
    </row>
    <row r="28" customFormat="false" ht="15" hidden="false" customHeight="false" outlineLevel="0" collapsed="false">
      <c r="A28" s="0" t="s">
        <v>356</v>
      </c>
      <c r="B28" s="6" t="n">
        <f aca="false">'Acquisition Analysis'!B16</f>
        <v>-9100</v>
      </c>
    </row>
    <row r="29" customFormat="false" ht="15" hidden="false" customHeight="false" outlineLevel="0" collapsed="false">
      <c r="A29" s="0" t="s">
        <v>357</v>
      </c>
      <c r="B29" s="6" t="n">
        <f aca="false">'BRRRR Scenario'!B34</f>
        <v>55849.5</v>
      </c>
    </row>
    <row r="30" customFormat="false" ht="15" hidden="false" customHeight="false" outlineLevel="0" collapsed="false">
      <c r="A30" s="0" t="s">
        <v>358</v>
      </c>
      <c r="B30" s="15" t="n">
        <v>9</v>
      </c>
    </row>
    <row r="31" customFormat="false" ht="15" hidden="false" customHeight="false" outlineLevel="0" collapsed="false">
      <c r="A31" s="0" t="s">
        <v>359</v>
      </c>
      <c r="B31" s="32" t="n">
        <f aca="false">12/B30</f>
        <v>1.33333333333333</v>
      </c>
    </row>
    <row r="33" customFormat="false" ht="15" hidden="false" customHeight="false" outlineLevel="0" collapsed="false">
      <c r="A33" s="0" t="s">
        <v>360</v>
      </c>
      <c r="B33" s="33" t="n">
        <f aca="false">B31*10</f>
        <v>13.3333333333333</v>
      </c>
    </row>
    <row r="34" customFormat="false" ht="15" hidden="false" customHeight="false" outlineLevel="0" collapsed="false">
      <c r="A34" s="0" t="s">
        <v>361</v>
      </c>
      <c r="B34" s="20" t="n">
        <f aca="false">'BRRRR Scenario'!B47*B33</f>
        <v>-4186.12077751443</v>
      </c>
    </row>
    <row r="35" customFormat="false" ht="15" hidden="false" customHeight="false" outlineLevel="0" collapsed="false">
      <c r="A35" s="0" t="s">
        <v>146</v>
      </c>
      <c r="B35" s="8" t="n">
        <f aca="false">B34*12</f>
        <v>-50233.4493301732</v>
      </c>
    </row>
    <row r="36" customFormat="false" ht="15" hidden="false" customHeight="false" outlineLevel="0" collapsed="false">
      <c r="A36" s="0" t="s">
        <v>352</v>
      </c>
      <c r="B36" s="8" t="n">
        <f aca="false">'Inputs &amp; Assumptions'!B28*B33*(1+'Inputs &amp; Assumptions'!B65)^10</f>
        <v>5609139.01031725</v>
      </c>
    </row>
    <row r="37" customFormat="false" ht="15" hidden="false" customHeight="false" outlineLevel="0" collapsed="false">
      <c r="A37" s="0" t="s">
        <v>353</v>
      </c>
      <c r="B37" s="8" t="n">
        <f aca="false">(B36-'BRRRR Scenario'!B27*B33)</f>
        <v>2767139.01031725</v>
      </c>
    </row>
    <row r="40" customFormat="false" ht="15" hidden="false" customHeight="false" outlineLevel="0" collapsed="false">
      <c r="A40" s="3" t="s">
        <v>228</v>
      </c>
    </row>
    <row r="41" customFormat="false" ht="15" hidden="false" customHeight="false" outlineLevel="0" collapsed="false">
      <c r="A41" s="11" t="s">
        <v>22</v>
      </c>
      <c r="B41" s="11" t="s">
        <v>362</v>
      </c>
      <c r="C41" s="11" t="s">
        <v>363</v>
      </c>
    </row>
    <row r="42" customFormat="false" ht="15" hidden="false" customHeight="false" outlineLevel="0" collapsed="false">
      <c r="A42" s="0" t="s">
        <v>364</v>
      </c>
      <c r="B42" s="22" t="n">
        <f aca="false">B16</f>
        <v>10</v>
      </c>
      <c r="C42" s="22" t="n">
        <f aca="false">B33</f>
        <v>13.3333333333333</v>
      </c>
    </row>
    <row r="43" customFormat="false" ht="15" hidden="false" customHeight="false" outlineLevel="0" collapsed="false">
      <c r="A43" s="0" t="s">
        <v>234</v>
      </c>
      <c r="B43" s="8" t="n">
        <f aca="false">D16/12</f>
        <v>-2514.41611568549</v>
      </c>
      <c r="C43" s="8" t="n">
        <f aca="false">B34</f>
        <v>-4186.12077751443</v>
      </c>
    </row>
    <row r="44" customFormat="false" ht="15" hidden="false" customHeight="false" outlineLevel="0" collapsed="false">
      <c r="A44" s="0" t="s">
        <v>365</v>
      </c>
      <c r="B44" s="8" t="n">
        <f aca="false">D16</f>
        <v>-30172.9933882258</v>
      </c>
      <c r="C44" s="8" t="n">
        <f aca="false">B35</f>
        <v>-50233.4493301732</v>
      </c>
    </row>
    <row r="45" customFormat="false" ht="15" hidden="false" customHeight="false" outlineLevel="0" collapsed="false">
      <c r="A45" s="0" t="s">
        <v>349</v>
      </c>
      <c r="B45" s="8" t="n">
        <f aca="false">E16</f>
        <v>4045052.17090186</v>
      </c>
      <c r="C45" s="8" t="n">
        <f aca="false">B36</f>
        <v>5609139.01031725</v>
      </c>
    </row>
    <row r="46" customFormat="false" ht="15" hidden="false" customHeight="false" outlineLevel="0" collapsed="false">
      <c r="A46" s="0" t="s">
        <v>287</v>
      </c>
      <c r="B46" s="8" t="n">
        <f aca="false">F16</f>
        <v>1913552.17090186</v>
      </c>
      <c r="C46" s="8" t="n">
        <f aca="false">B37</f>
        <v>2767139.01031725</v>
      </c>
    </row>
    <row r="47" customFormat="false" ht="15" hidden="false" customHeight="false" outlineLevel="0" collapsed="false">
      <c r="A47" s="0" t="s">
        <v>366</v>
      </c>
      <c r="B47" s="8" t="n">
        <f aca="false">'Acquisition Analysis'!B16</f>
        <v>-9100</v>
      </c>
      <c r="C47" s="8" t="n">
        <f aca="false">'Acquisition Analysis'!B16</f>
        <v>-9100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2025-11-03T22:21:27Z</dcterms:created>
  <dc:creator>openpyxl</dc:creator>
  <dc:description/>
  <dc:language>en-US</dc:language>
  <cp:lastModifiedBy/>
  <dcterms:modified xsi:type="dcterms:W3CDTF">2025-11-03T22:25:58Z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