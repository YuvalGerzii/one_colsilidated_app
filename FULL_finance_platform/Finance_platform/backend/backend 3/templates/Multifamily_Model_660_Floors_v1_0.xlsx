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Unit Mix Scenarios" sheetId="3" state="visible" r:id="rId3"/>
    <sheet xmlns:r="http://schemas.openxmlformats.org/officeDocument/2006/relationships" name="Pro Forma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Returns Analysi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Rent Roll" sheetId="8" state="visible" r:id="rId8"/>
    <sheet xmlns:r="http://schemas.openxmlformats.org/officeDocument/2006/relationships" name="Development Budget" sheetId="9" state="visible" r:id="rId9"/>
    <sheet xmlns:r="http://schemas.openxmlformats.org/officeDocument/2006/relationships" name="Exit Strateg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$#,##0,"/>
    <numFmt numFmtId="166" formatCode="$#,##0"/>
    <numFmt numFmtId="167" formatCode="0.0%"/>
    <numFmt numFmtId="168" formatCode="0.00x"/>
    <numFmt numFmtId="169" formatCode="$#,##0.00"/>
    <numFmt numFmtId="170" formatCode="($#,##0,)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sz val="11"/>
    </font>
    <font>
      <name val="Calibri"/>
      <i val="1"/>
      <color rgb="00808080"/>
      <sz val="9"/>
    </font>
    <font>
      <name val="Calibri"/>
      <b val="1"/>
      <color rgb="00FFFFFF"/>
      <sz val="14"/>
    </font>
    <font>
      <name val="Calibri"/>
      <sz val="10"/>
    </font>
    <font>
      <name val="Calibri"/>
      <color rgb="00008000"/>
      <sz val="10"/>
    </font>
    <font>
      <name val="Calibri"/>
      <color rgb="00808080"/>
      <sz val="9"/>
    </font>
    <font>
      <name val="Calibri"/>
      <b val="1"/>
      <color rgb="00FFFFFF"/>
      <sz val="11"/>
    </font>
    <font>
      <name val="Calibri"/>
      <i val="1"/>
      <color rgb="000000FF"/>
      <sz val="9"/>
    </font>
    <font>
      <name val="Calibri"/>
      <b val="1"/>
      <color rgb="00FFFFFF"/>
      <sz val="12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sz val="10"/>
    </font>
    <font>
      <name val="Calibri"/>
      <i val="1"/>
      <sz val="9"/>
    </font>
    <font>
      <name val="Calibri"/>
      <b val="1"/>
      <color rgb="00FFFFFF"/>
      <sz val="10"/>
    </font>
    <font>
      <name val="Calibri"/>
      <b val="1"/>
      <sz val="11"/>
    </font>
    <font>
      <name val="Calibri"/>
      <b val="1"/>
      <color rgb="001F4E78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3" fontId="6" fillId="0" borderId="0" pivotButton="0" quotePrefix="0" xfId="0"/>
    <xf numFmtId="0" fontId="8" fillId="4" borderId="0" applyAlignment="1" pivotButton="0" quotePrefix="0" xfId="0">
      <alignment horizontal="center"/>
    </xf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0" fontId="4" fillId="2" borderId="0" applyAlignment="1" pivotButton="0" quotePrefix="0" xfId="0">
      <alignment horizontal="center"/>
    </xf>
    <xf numFmtId="0" fontId="9" fillId="0" borderId="0" pivotButton="0" quotePrefix="0" xfId="0"/>
    <xf numFmtId="0" fontId="10" fillId="3" borderId="0" pivotButton="0" quotePrefix="0" xfId="0"/>
    <xf numFmtId="0" fontId="11" fillId="5" borderId="0" pivotButton="0" quotePrefix="0" xfId="0"/>
    <xf numFmtId="0" fontId="3" fillId="0" borderId="0" pivotButton="0" quotePrefix="0" xfId="0"/>
    <xf numFmtId="3" fontId="11" fillId="5" borderId="0" pivotButton="0" quotePrefix="0" xfId="0"/>
    <xf numFmtId="4" fontId="12" fillId="0" borderId="0" pivotButton="0" quotePrefix="0" xfId="0"/>
    <xf numFmtId="0" fontId="13" fillId="0" borderId="0" applyAlignment="1" pivotButton="0" quotePrefix="0" xfId="0">
      <alignment horizontal="center"/>
    </xf>
    <xf numFmtId="166" fontId="11" fillId="5" borderId="0" pivotButton="0" quotePrefix="0" xfId="0"/>
    <xf numFmtId="0" fontId="13" fillId="0" borderId="0" pivotButton="0" quotePrefix="0" xfId="0"/>
    <xf numFmtId="3" fontId="12" fillId="0" borderId="0" pivotButton="0" quotePrefix="0" xfId="0"/>
    <xf numFmtId="166" fontId="12" fillId="0" borderId="0" pivotButton="0" quotePrefix="0" xfId="0"/>
    <xf numFmtId="167" fontId="11" fillId="5" borderId="0" pivotButton="0" quotePrefix="0" xfId="0"/>
    <xf numFmtId="0" fontId="14" fillId="0" borderId="0" applyAlignment="1" pivotButton="0" quotePrefix="0" xfId="0">
      <alignment horizontal="center"/>
    </xf>
    <xf numFmtId="0" fontId="15" fillId="4" borderId="0" applyAlignment="1" pivotButton="0" quotePrefix="0" xfId="0">
      <alignment horizontal="center"/>
    </xf>
    <xf numFmtId="3" fontId="11" fillId="6" borderId="0" pivotButton="0" quotePrefix="0" xfId="0"/>
    <xf numFmtId="165" fontId="12" fillId="0" borderId="0" pivotButton="0" quotePrefix="0" xfId="0"/>
    <xf numFmtId="169" fontId="12" fillId="0" borderId="0" pivotButton="0" quotePrefix="0" xfId="0"/>
    <xf numFmtId="2" fontId="12" fillId="0" borderId="0" pivotButton="0" quotePrefix="0" xfId="0"/>
    <xf numFmtId="0" fontId="14" fillId="0" borderId="0" pivotButton="0" quotePrefix="0" xfId="0"/>
    <xf numFmtId="0" fontId="8" fillId="3" borderId="0" pivotButton="0" quotePrefix="0" xfId="0"/>
    <xf numFmtId="170" fontId="12" fillId="0" borderId="0" pivotButton="0" quotePrefix="0" xfId="0"/>
    <xf numFmtId="0" fontId="16" fillId="0" borderId="0" pivotButton="0" quotePrefix="0" xfId="0"/>
    <xf numFmtId="165" fontId="13" fillId="0" borderId="0" pivotButton="0" quotePrefix="0" xfId="0"/>
    <xf numFmtId="167" fontId="12" fillId="0" borderId="0" pivotButton="0" quotePrefix="0" xfId="0"/>
    <xf numFmtId="167" fontId="11" fillId="0" borderId="0" pivotButton="0" quotePrefix="0" xfId="0"/>
    <xf numFmtId="168" fontId="12" fillId="0" borderId="0" pivotButton="0" quotePrefix="0" xfId="0"/>
    <xf numFmtId="167" fontId="15" fillId="4" borderId="0" applyAlignment="1" pivotButton="0" quotePrefix="0" xfId="0">
      <alignment horizontal="center"/>
    </xf>
    <xf numFmtId="167" fontId="5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MULTIFAMILY FINANCIAL MODEL</t>
        </is>
      </c>
    </row>
    <row r="2">
      <c r="A2" s="2" t="inlineStr">
        <is>
          <t>High-Rise Development &amp; Acquisition Analysis (6-60 Floors)</t>
        </is>
      </c>
    </row>
    <row r="3">
      <c r="A3" s="3" t="inlineStr">
        <is>
          <t>Generated: November 02, 2025</t>
        </is>
      </c>
    </row>
    <row r="5">
      <c r="A5" s="4" t="inlineStr">
        <is>
          <t>PROPERTY OVERVIEW</t>
        </is>
      </c>
    </row>
    <row r="6">
      <c r="A6" s="5" t="inlineStr">
        <is>
          <t>Property Name</t>
        </is>
      </c>
      <c r="B6" s="6">
        <f>Inputs!B5</f>
        <v/>
      </c>
      <c r="C6" s="7" t="inlineStr"/>
    </row>
    <row r="7">
      <c r="A7" s="5" t="inlineStr">
        <is>
          <t>Address</t>
        </is>
      </c>
      <c r="B7" s="6">
        <f>Inputs!B6</f>
        <v/>
      </c>
      <c r="C7" s="7" t="inlineStr"/>
    </row>
    <row r="8">
      <c r="A8" s="5" t="inlineStr">
        <is>
          <t>Building Type</t>
        </is>
      </c>
      <c r="B8" s="6">
        <f>Inputs!B10</f>
        <v/>
      </c>
      <c r="C8" s="7" t="inlineStr"/>
    </row>
    <row r="9">
      <c r="A9" s="5" t="inlineStr">
        <is>
          <t>Total Floors</t>
        </is>
      </c>
      <c r="B9" s="8">
        <f>Inputs!B11</f>
        <v/>
      </c>
      <c r="C9" s="7" t="inlineStr">
        <is>
          <t>floors</t>
        </is>
      </c>
    </row>
    <row r="10">
      <c r="A10" s="5" t="inlineStr">
        <is>
          <t>Total Units</t>
        </is>
      </c>
      <c r="B10" s="8">
        <f>Inputs!B12</f>
        <v/>
      </c>
      <c r="C10" s="7" t="inlineStr">
        <is>
          <t>units</t>
        </is>
      </c>
    </row>
    <row r="11">
      <c r="A11" s="5" t="inlineStr">
        <is>
          <t>Total Rentable SF</t>
        </is>
      </c>
      <c r="B11" s="8">
        <f>Inputs!B13</f>
        <v/>
      </c>
      <c r="C11" s="7" t="inlineStr">
        <is>
          <t>SF</t>
        </is>
      </c>
    </row>
    <row r="12">
      <c r="A12" s="5" t="inlineStr">
        <is>
          <t>Average Unit Size</t>
        </is>
      </c>
      <c r="B12" s="6">
        <f>Inputs!B13/Inputs!B12</f>
        <v/>
      </c>
      <c r="C12" s="7" t="inlineStr">
        <is>
          <t>SF/unit</t>
        </is>
      </c>
    </row>
    <row r="13">
      <c r="A13" s="5" t="inlineStr">
        <is>
          <t>Parking Spaces</t>
        </is>
      </c>
      <c r="B13" s="8">
        <f>Inputs!B15</f>
        <v/>
      </c>
      <c r="C13" s="7" t="inlineStr">
        <is>
          <t>spaces</t>
        </is>
      </c>
    </row>
    <row r="14">
      <c r="A14" s="5" t="inlineStr">
        <is>
          <t>Parking Ratio</t>
        </is>
      </c>
      <c r="B14" s="8">
        <f>Inputs!B15/Inputs!B12</f>
        <v/>
      </c>
      <c r="C14" s="7" t="inlineStr">
        <is>
          <t>spaces/unit</t>
        </is>
      </c>
    </row>
    <row r="16">
      <c r="A16" s="4" t="inlineStr">
        <is>
          <t>KEY INVESTMENT METRICS</t>
        </is>
      </c>
    </row>
    <row r="17">
      <c r="A17" s="9" t="inlineStr">
        <is>
          <t>Metric</t>
        </is>
      </c>
      <c r="B17" s="9" t="inlineStr">
        <is>
          <t>Base Case</t>
        </is>
      </c>
      <c r="C17" s="9" t="inlineStr">
        <is>
          <t>High Density</t>
        </is>
      </c>
      <c r="D17" s="9" t="inlineStr">
        <is>
          <t>Luxury</t>
        </is>
      </c>
    </row>
    <row r="18">
      <c r="A18" s="5" t="inlineStr">
        <is>
          <t>Total Development Cost</t>
        </is>
      </c>
      <c r="B18" s="10">
        <f>'Pro Forma'!B5</f>
        <v/>
      </c>
      <c r="C18" s="10">
        <f>'Pro Forma'!C5</f>
        <v/>
      </c>
      <c r="D18" s="10">
        <f>'Pro Forma'!D5</f>
        <v/>
      </c>
    </row>
    <row r="19">
      <c r="A19" s="5" t="inlineStr">
        <is>
          <t>Cost per Unit</t>
        </is>
      </c>
      <c r="B19" s="11">
        <f>'Pro Forma'!B5/Inputs!B12</f>
        <v/>
      </c>
      <c r="C19" s="11">
        <f>'Pro Forma'!C5/Inputs!B12</f>
        <v/>
      </c>
      <c r="D19" s="11">
        <f>'Pro Forma'!D5/Inputs!B12</f>
        <v/>
      </c>
    </row>
    <row r="20">
      <c r="A20" s="5" t="inlineStr">
        <is>
          <t>Cost per SF</t>
        </is>
      </c>
      <c r="B20" s="11">
        <f>'Pro Forma'!B5/Inputs!B13</f>
        <v/>
      </c>
      <c r="C20" s="11">
        <f>'Pro Forma'!C5/Inputs!B13</f>
        <v/>
      </c>
      <c r="D20" s="11">
        <f>'Pro Forma'!D5/Inputs!B13</f>
        <v/>
      </c>
    </row>
    <row r="22">
      <c r="A22" s="5" t="inlineStr">
        <is>
          <t>Stabilized NOI (Year 1)</t>
        </is>
      </c>
      <c r="B22" s="10">
        <f>'Pro Forma'!B20</f>
        <v/>
      </c>
      <c r="C22" s="10">
        <f>'Pro Forma'!C20</f>
        <v/>
      </c>
      <c r="D22" s="10">
        <f>'Pro Forma'!D20</f>
        <v/>
      </c>
    </row>
    <row r="23">
      <c r="A23" s="5" t="inlineStr">
        <is>
          <t>NOI Margin</t>
        </is>
      </c>
      <c r="B23" s="12">
        <f>'Pro Forma'!B20/'Pro Forma'!B15</f>
        <v/>
      </c>
      <c r="C23" s="12">
        <f>'Pro Forma'!C20/'Pro Forma'!C15</f>
        <v/>
      </c>
      <c r="D23" s="12">
        <f>'Pro Forma'!D20/'Pro Forma'!D15</f>
        <v/>
      </c>
    </row>
    <row r="24">
      <c r="A24" s="5" t="inlineStr">
        <is>
          <t>Stabilized Cap Rate</t>
        </is>
      </c>
      <c r="B24" s="12">
        <f>'Pro Forma'!B20/'Pro Forma'!B5</f>
        <v/>
      </c>
      <c r="C24" s="12">
        <f>'Pro Forma'!C20/'Pro Forma'!C5</f>
        <v/>
      </c>
      <c r="D24" s="12">
        <f>'Pro Forma'!D20/'Pro Forma'!D5</f>
        <v/>
      </c>
    </row>
    <row r="26">
      <c r="A26" s="5" t="inlineStr">
        <is>
          <t>Levered IRR</t>
        </is>
      </c>
      <c r="B26" s="12">
        <f>'Returns Analysis'!B10</f>
        <v/>
      </c>
      <c r="C26" s="12">
        <f>'Returns Analysis'!C10</f>
        <v/>
      </c>
      <c r="D26" s="12">
        <f>'Returns Analysis'!D10</f>
        <v/>
      </c>
    </row>
    <row r="27">
      <c r="A27" s="5" t="inlineStr">
        <is>
          <t>Equity Multiple</t>
        </is>
      </c>
      <c r="B27" s="13">
        <f>'Returns Analysis'!B11</f>
        <v/>
      </c>
      <c r="C27" s="13">
        <f>'Returns Analysis'!C11</f>
        <v/>
      </c>
      <c r="D27" s="13">
        <f>'Returns Analysis'!D11</f>
        <v/>
      </c>
    </row>
    <row r="28">
      <c r="A28" s="5" t="inlineStr">
        <is>
          <t>Cash-on-Cash (Y1)</t>
        </is>
      </c>
      <c r="B28" s="12">
        <f>'Returns Analysis'!B12</f>
        <v/>
      </c>
      <c r="C28" s="12">
        <f>'Returns Analysis'!C12</f>
        <v/>
      </c>
      <c r="D28" s="12">
        <f>'Returns Analysis'!D12</f>
        <v/>
      </c>
    </row>
    <row r="30">
      <c r="A30" s="5" t="inlineStr">
        <is>
          <t>Exit Value</t>
        </is>
      </c>
      <c r="B30" s="10">
        <f>'Exit Strategies'!B15</f>
        <v/>
      </c>
      <c r="C30" s="10">
        <f>'Exit Strategies'!C15</f>
        <v/>
      </c>
      <c r="D30" s="10">
        <f>'Exit Strategies'!D15</f>
        <v/>
      </c>
    </row>
    <row r="31">
      <c r="A31" s="5" t="inlineStr">
        <is>
          <t>Total Profit</t>
        </is>
      </c>
      <c r="B31" s="10">
        <f>'Exit Strategies'!B20</f>
        <v/>
      </c>
      <c r="C31" s="10">
        <f>'Exit Strategies'!C20</f>
        <v/>
      </c>
      <c r="D31" s="10">
        <f>'Exit Strategies'!D20</f>
        <v/>
      </c>
    </row>
    <row r="32">
      <c r="A32" s="5" t="inlineStr">
        <is>
          <t>ROI</t>
        </is>
      </c>
      <c r="B32" s="12">
        <f>'Exit Strategies'!B21</f>
        <v/>
      </c>
      <c r="C32" s="12">
        <f>'Exit Strategies'!C21</f>
        <v/>
      </c>
      <c r="D32" s="12">
        <f>'Exit Strategies'!D21</f>
        <v/>
      </c>
    </row>
  </sheetData>
  <mergeCells count="5">
    <mergeCell ref="A1:D1"/>
    <mergeCell ref="A5:D5"/>
    <mergeCell ref="A3:D3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30" customWidth="1" min="4" max="4"/>
  </cols>
  <sheetData>
    <row r="1">
      <c r="A1" s="14" t="inlineStr">
        <is>
          <t>MULTIFAMILY MODEL - INPUTS &amp; ASSUMPTIONS</t>
        </is>
      </c>
    </row>
    <row r="2">
      <c r="A2" s="15" t="inlineStr">
        <is>
          <t>All BLUE cells are inputs - Change these to model different scenarios</t>
        </is>
      </c>
    </row>
    <row r="4">
      <c r="A4" s="16" t="inlineStr">
        <is>
          <t>PROPERTY INFORMATION</t>
        </is>
      </c>
    </row>
    <row r="5">
      <c r="A5" s="5" t="inlineStr">
        <is>
          <t>Property Name</t>
        </is>
      </c>
      <c r="B5" s="17" t="inlineStr">
        <is>
          <t>Urban Heights Tower</t>
        </is>
      </c>
      <c r="C5" s="7" t="inlineStr"/>
      <c r="D5" s="18" t="inlineStr">
        <is>
          <t>Enter property name</t>
        </is>
      </c>
    </row>
    <row r="6">
      <c r="A6" s="5" t="inlineStr">
        <is>
          <t>Address</t>
        </is>
      </c>
      <c r="B6" s="17" t="inlineStr">
        <is>
          <t>123 Main Street, San Francisco, CA</t>
        </is>
      </c>
      <c r="C6" s="7" t="inlineStr"/>
      <c r="D6" s="18" t="inlineStr">
        <is>
          <t>Property location</t>
        </is>
      </c>
    </row>
    <row r="7">
      <c r="A7" s="5" t="inlineStr">
        <is>
          <t>Asset Class</t>
        </is>
      </c>
      <c r="B7" s="17" t="inlineStr">
        <is>
          <t>Class A</t>
        </is>
      </c>
      <c r="C7" s="7" t="inlineStr"/>
      <c r="D7" s="18" t="inlineStr">
        <is>
          <t>Class A, B, or C</t>
        </is>
      </c>
    </row>
    <row r="9">
      <c r="A9" s="5" t="inlineStr">
        <is>
          <t>Building Type</t>
        </is>
      </c>
      <c r="B9" s="17" t="inlineStr">
        <is>
          <t>High-Rise Residential</t>
        </is>
      </c>
      <c r="C9" s="7" t="inlineStr"/>
      <c r="D9" s="18" t="inlineStr">
        <is>
          <t>Type of development</t>
        </is>
      </c>
    </row>
    <row r="10">
      <c r="A10" s="5" t="inlineStr">
        <is>
          <t>Total Floors</t>
        </is>
      </c>
      <c r="B10" s="19" t="n">
        <v>25</v>
      </c>
      <c r="C10" s="7" t="inlineStr">
        <is>
          <t>floors</t>
        </is>
      </c>
      <c r="D10" s="18" t="inlineStr">
        <is>
          <t>Number of floors (6-60)</t>
        </is>
      </c>
    </row>
    <row r="11">
      <c r="A11" s="5" t="inlineStr">
        <is>
          <t>Total Units</t>
        </is>
      </c>
      <c r="B11" s="19" t="n">
        <v>250</v>
      </c>
      <c r="C11" s="7" t="inlineStr">
        <is>
          <t>units</t>
        </is>
      </c>
      <c r="D11" s="18" t="inlineStr">
        <is>
          <t>Total residential units</t>
        </is>
      </c>
    </row>
    <row r="12">
      <c r="A12" s="5" t="inlineStr">
        <is>
          <t>Total Rentable SF</t>
        </is>
      </c>
      <c r="B12" s="19" t="n">
        <v>200000</v>
      </c>
      <c r="C12" s="7" t="inlineStr">
        <is>
          <t>SF</t>
        </is>
      </c>
      <c r="D12" s="18" t="inlineStr">
        <is>
          <t>Total rentable square footage</t>
        </is>
      </c>
    </row>
    <row r="13">
      <c r="A13" s="5" t="inlineStr">
        <is>
          <t>Average Floor Plate</t>
        </is>
      </c>
      <c r="B13" s="19" t="n">
        <v>8000</v>
      </c>
      <c r="C13" s="7" t="inlineStr">
        <is>
          <t>SF/floor</t>
        </is>
      </c>
      <c r="D13" s="18" t="inlineStr">
        <is>
          <t>Average floor size</t>
        </is>
      </c>
    </row>
    <row r="14">
      <c r="A14" s="5" t="inlineStr">
        <is>
          <t>Parking Spaces</t>
        </is>
      </c>
      <c r="B14" s="19" t="n">
        <v>300</v>
      </c>
      <c r="C14" s="7" t="inlineStr">
        <is>
          <t>spaces</t>
        </is>
      </c>
      <c r="D14" s="18" t="inlineStr">
        <is>
          <t>Total parking spaces</t>
        </is>
      </c>
    </row>
    <row r="15">
      <c r="A15" s="5" t="inlineStr">
        <is>
          <t>Parking Ratio</t>
        </is>
      </c>
      <c r="B15" s="20">
        <f>B15/B12</f>
        <v/>
      </c>
      <c r="C15" s="7" t="inlineStr">
        <is>
          <t>spaces/unit</t>
        </is>
      </c>
      <c r="D15" s="18" t="inlineStr">
        <is>
          <t>Parking spaces per unit</t>
        </is>
      </c>
    </row>
    <row r="17">
      <c r="A17" s="5" t="inlineStr">
        <is>
          <t>Year Built / Delivery</t>
        </is>
      </c>
      <c r="B17" s="17" t="n">
        <v>2026</v>
      </c>
      <c r="C17" s="7" t="inlineStr"/>
      <c r="D17" s="18" t="inlineStr">
        <is>
          <t>Construction completion year</t>
        </is>
      </c>
    </row>
    <row r="18">
      <c r="A18" s="5" t="inlineStr">
        <is>
          <t>Analysis Start Date</t>
        </is>
      </c>
      <c r="B18" s="17" t="inlineStr">
        <is>
          <t>Jan-2026</t>
        </is>
      </c>
      <c r="C18" s="7" t="inlineStr"/>
      <c r="D18" s="18" t="inlineStr">
        <is>
          <t>Pro forma start date</t>
        </is>
      </c>
    </row>
    <row r="19">
      <c r="A19" s="5" t="inlineStr">
        <is>
          <t>Hold Period</t>
        </is>
      </c>
      <c r="B19" s="19" t="n">
        <v>7</v>
      </c>
      <c r="C19" s="7" t="inlineStr">
        <is>
          <t>years</t>
        </is>
      </c>
      <c r="D19" s="18" t="inlineStr">
        <is>
          <t>Investment holding period</t>
        </is>
      </c>
    </row>
    <row r="21">
      <c r="A21" s="16" t="inlineStr">
        <is>
          <t>UNIT MIX CONFIGURATION</t>
        </is>
      </c>
    </row>
    <row r="22">
      <c r="A22" s="21" t="inlineStr">
        <is>
          <t>Unit Type</t>
        </is>
      </c>
      <c r="B22" s="21" t="inlineStr">
        <is>
          <t>Count</t>
        </is>
      </c>
      <c r="C22" s="21" t="inlineStr">
        <is>
          <t>Avg SF</t>
        </is>
      </c>
      <c r="D22" s="21" t="inlineStr">
        <is>
          <t>Market Rent/Month</t>
        </is>
      </c>
    </row>
    <row r="23">
      <c r="A23" s="5" t="inlineStr">
        <is>
          <t>Studio</t>
        </is>
      </c>
      <c r="B23" s="19" t="n">
        <v>25</v>
      </c>
      <c r="C23" s="19" t="n">
        <v>550</v>
      </c>
      <c r="D23" s="22" t="n">
        <v>2200</v>
      </c>
    </row>
    <row r="24">
      <c r="A24" s="5" t="inlineStr">
        <is>
          <t>1 Bedroom</t>
        </is>
      </c>
      <c r="B24" s="19" t="n">
        <v>85</v>
      </c>
      <c r="C24" s="19" t="n">
        <v>750</v>
      </c>
      <c r="D24" s="22" t="n">
        <v>2800</v>
      </c>
    </row>
    <row r="25">
      <c r="A25" s="5" t="inlineStr">
        <is>
          <t>2 Bedroom</t>
        </is>
      </c>
      <c r="B25" s="19" t="n">
        <v>110</v>
      </c>
      <c r="C25" s="19" t="n">
        <v>1100</v>
      </c>
      <c r="D25" s="22" t="n">
        <v>3800</v>
      </c>
    </row>
    <row r="26">
      <c r="A26" s="5" t="inlineStr">
        <is>
          <t>3 Bedroom</t>
        </is>
      </c>
      <c r="B26" s="19" t="n">
        <v>30</v>
      </c>
      <c r="C26" s="19" t="n">
        <v>1400</v>
      </c>
      <c r="D26" s="22" t="n">
        <v>5200</v>
      </c>
    </row>
    <row r="27">
      <c r="A27" s="5" t="inlineStr">
        <is>
          <t>Penthouse</t>
        </is>
      </c>
      <c r="B27" s="19" t="n">
        <v>0</v>
      </c>
      <c r="C27" s="19" t="n">
        <v>2500</v>
      </c>
      <c r="D27" s="22" t="n">
        <v>8500</v>
      </c>
    </row>
    <row r="28">
      <c r="A28" s="23" t="inlineStr">
        <is>
          <t>TOTAL</t>
        </is>
      </c>
      <c r="B28" s="24">
        <f>SUM(B23:B27)</f>
        <v/>
      </c>
      <c r="C28" s="24">
        <f>SUMPRODUCT(B23:B27,C23:C27)/B28</f>
        <v/>
      </c>
      <c r="D28" s="25">
        <f>SUMPRODUCT(B23:B27,D23:D27)/B28</f>
        <v/>
      </c>
    </row>
    <row r="30">
      <c r="A30" s="16" t="inlineStr">
        <is>
          <t>REVENUE ASSUMPTIONS</t>
        </is>
      </c>
    </row>
    <row r="31">
      <c r="A31" s="5" t="inlineStr">
        <is>
          <t>Physical Occupancy Target</t>
        </is>
      </c>
      <c r="B31" s="26" t="n">
        <v>0.96</v>
      </c>
      <c r="C31" s="7" t="inlineStr">
        <is>
          <t>%</t>
        </is>
      </c>
      <c r="D31" s="18" t="inlineStr">
        <is>
          <t>Target stabilized occupancy</t>
        </is>
      </c>
    </row>
    <row r="32">
      <c r="A32" s="5" t="inlineStr">
        <is>
          <t>Economic Occupancy</t>
        </is>
      </c>
      <c r="B32" s="26" t="n">
        <v>0.95</v>
      </c>
      <c r="C32" s="7" t="inlineStr">
        <is>
          <t>%</t>
        </is>
      </c>
      <c r="D32" s="18" t="inlineStr">
        <is>
          <t>After concessions &amp; bad debt</t>
        </is>
      </c>
    </row>
    <row r="33">
      <c r="A33" s="5" t="inlineStr">
        <is>
          <t>Annual Rent Growth</t>
        </is>
      </c>
      <c r="B33" s="26" t="n">
        <v>0.035</v>
      </c>
      <c r="C33" s="7" t="inlineStr">
        <is>
          <t>%</t>
        </is>
      </c>
      <c r="D33" s="18" t="inlineStr">
        <is>
          <t>3.5% annual rent escalation</t>
        </is>
      </c>
    </row>
    <row r="34">
      <c r="A34" s="5" t="inlineStr">
        <is>
          <t>Concession Rate</t>
        </is>
      </c>
      <c r="B34" s="26" t="n">
        <v>0.02</v>
      </c>
      <c r="C34" s="7" t="inlineStr">
        <is>
          <t>%</t>
        </is>
      </c>
      <c r="D34" s="18" t="inlineStr">
        <is>
          <t>2% of gross rent</t>
        </is>
      </c>
    </row>
    <row r="35">
      <c r="A35" s="5" t="inlineStr">
        <is>
          <t>Bad Debt / Credit Loss</t>
        </is>
      </c>
      <c r="B35" s="26" t="n">
        <v>0.005</v>
      </c>
      <c r="C35" s="7" t="inlineStr">
        <is>
          <t>%</t>
        </is>
      </c>
      <c r="D35" s="18" t="inlineStr">
        <is>
          <t>0.5% of gross rent</t>
        </is>
      </c>
    </row>
    <row r="37">
      <c r="A37" s="5" t="inlineStr">
        <is>
          <t>Other Income (per unit/month)</t>
        </is>
      </c>
      <c r="B37" s="22" t="n">
        <v>150</v>
      </c>
      <c r="C37" s="7" t="inlineStr">
        <is>
          <t>$</t>
        </is>
      </c>
      <c r="D37" s="18" t="inlineStr">
        <is>
          <t>Parking, storage, pet fees</t>
        </is>
      </c>
    </row>
    <row r="38">
      <c r="A38" s="5" t="inlineStr">
        <is>
          <t>Other Income Growth</t>
        </is>
      </c>
      <c r="B38" s="26" t="n">
        <v>0.025</v>
      </c>
      <c r="C38" s="7" t="inlineStr">
        <is>
          <t>%</t>
        </is>
      </c>
      <c r="D38" s="18" t="inlineStr">
        <is>
          <t>2.5% annual growth</t>
        </is>
      </c>
    </row>
    <row r="40">
      <c r="A40" s="16" t="inlineStr">
        <is>
          <t>OPERATING EXPENSES (Per Unit / Month)</t>
        </is>
      </c>
    </row>
    <row r="41">
      <c r="A41" s="5" t="inlineStr">
        <is>
          <t>Property Management</t>
        </is>
      </c>
      <c r="B41" s="22" t="n">
        <v>240</v>
      </c>
      <c r="C41" s="7" t="inlineStr">
        <is>
          <t>$/unit/month</t>
        </is>
      </c>
      <c r="D41" s="18" t="inlineStr">
        <is>
          <t>5-7% of EGI typical</t>
        </is>
      </c>
    </row>
    <row r="42">
      <c r="A42" s="5" t="inlineStr">
        <is>
          <t>On-Site Staff</t>
        </is>
      </c>
      <c r="B42" s="22" t="n">
        <v>180</v>
      </c>
      <c r="C42" s="7" t="inlineStr">
        <is>
          <t>$/unit/month</t>
        </is>
      </c>
      <c r="D42" s="18" t="inlineStr">
        <is>
          <t>Leasing, maintenance staff</t>
        </is>
      </c>
    </row>
    <row r="43">
      <c r="A43" s="5" t="inlineStr">
        <is>
          <t>Repairs &amp; Maintenance</t>
        </is>
      </c>
      <c r="B43" s="22" t="n">
        <v>120</v>
      </c>
      <c r="C43" s="7" t="inlineStr">
        <is>
          <t>$/unit/month</t>
        </is>
      </c>
      <c r="D43" s="18" t="inlineStr">
        <is>
          <t>Ongoing unit maintenance</t>
        </is>
      </c>
    </row>
    <row r="44">
      <c r="A44" s="5" t="inlineStr">
        <is>
          <t>Utilities (Common Areas)</t>
        </is>
      </c>
      <c r="B44" s="22" t="n">
        <v>85</v>
      </c>
      <c r="C44" s="7" t="inlineStr">
        <is>
          <t>$/unit/month</t>
        </is>
      </c>
      <c r="D44" s="18" t="inlineStr">
        <is>
          <t>Hallways, amenities, lobby</t>
        </is>
      </c>
    </row>
    <row r="45">
      <c r="A45" s="5" t="inlineStr">
        <is>
          <t>Marketing &amp; Leasing</t>
        </is>
      </c>
      <c r="B45" s="22" t="n">
        <v>45</v>
      </c>
      <c r="C45" s="7" t="inlineStr">
        <is>
          <t>$/unit/month</t>
        </is>
      </c>
      <c r="D45" s="18" t="inlineStr">
        <is>
          <t>Advertising, broker fees</t>
        </is>
      </c>
    </row>
    <row r="47">
      <c r="A47" s="5" t="inlineStr">
        <is>
          <t>Property Insurance</t>
        </is>
      </c>
      <c r="B47" s="22" t="n">
        <v>950</v>
      </c>
      <c r="C47" s="7" t="inlineStr">
        <is>
          <t>$/unit/year</t>
        </is>
      </c>
      <c r="D47" s="18" t="inlineStr">
        <is>
          <t>General liability &amp; property</t>
        </is>
      </c>
    </row>
    <row r="48">
      <c r="A48" s="5" t="inlineStr">
        <is>
          <t>Property Taxes</t>
        </is>
      </c>
      <c r="B48" s="22" t="n">
        <v>4500</v>
      </c>
      <c r="C48" s="7" t="inlineStr">
        <is>
          <t>$/unit/year</t>
        </is>
      </c>
      <c r="D48" s="18" t="inlineStr">
        <is>
          <t>Annual real estate taxes</t>
        </is>
      </c>
    </row>
    <row r="50">
      <c r="A50" s="5" t="inlineStr">
        <is>
          <t>Replacement Reserves</t>
        </is>
      </c>
      <c r="B50" s="22" t="n">
        <v>300</v>
      </c>
      <c r="C50" s="7" t="inlineStr">
        <is>
          <t>$/unit/year</t>
        </is>
      </c>
      <c r="D50" s="18" t="inlineStr">
        <is>
          <t>CapEx reserve fund</t>
        </is>
      </c>
    </row>
    <row r="52">
      <c r="A52" s="5" t="inlineStr">
        <is>
          <t>Operating Expense Growth</t>
        </is>
      </c>
      <c r="B52" s="26" t="n">
        <v>0.03</v>
      </c>
      <c r="C52" s="7" t="inlineStr">
        <is>
          <t>%/year</t>
        </is>
      </c>
      <c r="D52" s="18" t="inlineStr">
        <is>
          <t>Annual inflation rate</t>
        </is>
      </c>
    </row>
    <row r="54">
      <c r="A54" s="16" t="inlineStr">
        <is>
          <t>ACQUISITION &amp; DEVELOPMENT COSTS</t>
        </is>
      </c>
    </row>
    <row r="55">
      <c r="A55" s="5" t="inlineStr">
        <is>
          <t>Land / Acquisition Cost</t>
        </is>
      </c>
      <c r="B55" s="22" t="n">
        <v>15000000</v>
      </c>
      <c r="C55" s="7" t="inlineStr">
        <is>
          <t>$</t>
        </is>
      </c>
      <c r="D55" s="18" t="inlineStr">
        <is>
          <t>Purchase price or land cost</t>
        </is>
      </c>
    </row>
    <row r="56">
      <c r="A56" s="5" t="inlineStr">
        <is>
          <t>Hard Costs (per SF)</t>
        </is>
      </c>
      <c r="B56" s="22" t="n">
        <v>325</v>
      </c>
      <c r="C56" s="7" t="inlineStr">
        <is>
          <t>$/SF</t>
        </is>
      </c>
      <c r="D56" s="18" t="inlineStr">
        <is>
          <t>Construction costs</t>
        </is>
      </c>
    </row>
    <row r="57">
      <c r="A57" s="5" t="inlineStr">
        <is>
          <t>Soft Costs</t>
        </is>
      </c>
      <c r="B57" s="26" t="n">
        <v>0.18</v>
      </c>
      <c r="C57" s="7" t="inlineStr">
        <is>
          <t>% of Hard</t>
        </is>
      </c>
      <c r="D57" s="18" t="inlineStr">
        <is>
          <t>Architecture, engineering, permits</t>
        </is>
      </c>
    </row>
    <row r="58">
      <c r="A58" s="5" t="inlineStr">
        <is>
          <t>Furniture, Fixtures &amp; Equipment</t>
        </is>
      </c>
      <c r="B58" s="22" t="n">
        <v>8000</v>
      </c>
      <c r="C58" s="7" t="inlineStr">
        <is>
          <t>$/unit</t>
        </is>
      </c>
      <c r="D58" s="18" t="inlineStr">
        <is>
          <t>Appliances, fixtures per unit</t>
        </is>
      </c>
    </row>
    <row r="60">
      <c r="A60" s="5" t="inlineStr">
        <is>
          <t>Developer Fee</t>
        </is>
      </c>
      <c r="B60" s="26" t="n">
        <v>0.03</v>
      </c>
      <c r="C60" s="7" t="inlineStr">
        <is>
          <t>% of Total</t>
        </is>
      </c>
      <c r="D60" s="18" t="inlineStr">
        <is>
          <t>Developer profit</t>
        </is>
      </c>
    </row>
    <row r="61">
      <c r="A61" s="5" t="inlineStr">
        <is>
          <t>Contingency</t>
        </is>
      </c>
      <c r="B61" s="26" t="n">
        <v>0.05</v>
      </c>
      <c r="C61" s="7" t="inlineStr">
        <is>
          <t>% of Total</t>
        </is>
      </c>
      <c r="D61" s="18" t="inlineStr">
        <is>
          <t>Cost overrun reserve</t>
        </is>
      </c>
    </row>
    <row r="63">
      <c r="A63" s="5" t="inlineStr">
        <is>
          <t>Closing Costs</t>
        </is>
      </c>
      <c r="B63" s="26" t="n">
        <v>0.025</v>
      </c>
      <c r="C63" s="7" t="inlineStr">
        <is>
          <t>% of Land</t>
        </is>
      </c>
      <c r="D63" s="18" t="inlineStr">
        <is>
          <t>Title, escrow, legal</t>
        </is>
      </c>
    </row>
    <row r="65">
      <c r="A65" s="16" t="inlineStr">
        <is>
          <t>FINANCING ASSUMPTIONS</t>
        </is>
      </c>
    </row>
    <row r="66">
      <c r="A66" s="5" t="inlineStr">
        <is>
          <t>Loan-to-Cost (LTC)</t>
        </is>
      </c>
      <c r="B66" s="26" t="n">
        <v>0.65</v>
      </c>
      <c r="C66" s="7" t="inlineStr">
        <is>
          <t>%</t>
        </is>
      </c>
      <c r="D66" s="18" t="inlineStr">
        <is>
          <t>Construction/perm loan LTC</t>
        </is>
      </c>
    </row>
    <row r="67">
      <c r="A67" s="5" t="inlineStr">
        <is>
          <t>Interest Rate</t>
        </is>
      </c>
      <c r="B67" s="26" t="n">
        <v>0.065</v>
      </c>
      <c r="C67" s="7" t="inlineStr">
        <is>
          <t>%</t>
        </is>
      </c>
      <c r="D67" s="18" t="inlineStr">
        <is>
          <t>Annual interest rate</t>
        </is>
      </c>
    </row>
    <row r="68">
      <c r="A68" s="5" t="inlineStr">
        <is>
          <t>Loan Term</t>
        </is>
      </c>
      <c r="B68" s="19" t="n">
        <v>30</v>
      </c>
      <c r="C68" s="7" t="inlineStr">
        <is>
          <t>years</t>
        </is>
      </c>
      <c r="D68" s="18" t="inlineStr">
        <is>
          <t>Amortization period</t>
        </is>
      </c>
    </row>
    <row r="69">
      <c r="A69" s="5" t="inlineStr">
        <is>
          <t>Interest-Only Period</t>
        </is>
      </c>
      <c r="B69" s="19" t="n">
        <v>2</v>
      </c>
      <c r="C69" s="7" t="inlineStr">
        <is>
          <t>years</t>
        </is>
      </c>
      <c r="D69" s="18" t="inlineStr">
        <is>
          <t>IO period during construction</t>
        </is>
      </c>
    </row>
    <row r="71">
      <c r="A71" s="5" t="inlineStr">
        <is>
          <t>Loan Fees &amp; Costs</t>
        </is>
      </c>
      <c r="B71" s="26" t="n">
        <v>0.015</v>
      </c>
      <c r="C71" s="7" t="inlineStr">
        <is>
          <t>% of Loan</t>
        </is>
      </c>
      <c r="D71" s="18" t="inlineStr">
        <is>
          <t>Origination, legal fees</t>
        </is>
      </c>
    </row>
    <row r="73">
      <c r="A73" s="16" t="inlineStr">
        <is>
          <t>EXIT ASSUMPTIONS</t>
        </is>
      </c>
    </row>
    <row r="74">
      <c r="A74" s="5" t="inlineStr">
        <is>
          <t>Exit Strategy</t>
        </is>
      </c>
      <c r="B74" s="17" t="inlineStr">
        <is>
          <t>Sell Stabilized</t>
        </is>
      </c>
      <c r="C74" s="7" t="inlineStr"/>
      <c r="D74" s="18" t="inlineStr">
        <is>
          <t>Sell, Refinance, or Hold</t>
        </is>
      </c>
    </row>
    <row r="75">
      <c r="A75" s="5" t="inlineStr">
        <is>
          <t>Exit Cap Rate</t>
        </is>
      </c>
      <c r="B75" s="26" t="n">
        <v>0.05</v>
      </c>
      <c r="C75" s="7" t="inlineStr">
        <is>
          <t>%</t>
        </is>
      </c>
      <c r="D75" s="18" t="inlineStr">
        <is>
          <t>Cap rate at exit</t>
        </is>
      </c>
    </row>
    <row r="76">
      <c r="A76" s="5" t="inlineStr">
        <is>
          <t>Exit Year</t>
        </is>
      </c>
      <c r="B76" s="19" t="n">
        <v>7</v>
      </c>
      <c r="C76" s="7" t="inlineStr">
        <is>
          <t>years</t>
        </is>
      </c>
      <c r="D76" s="18" t="inlineStr">
        <is>
          <t>Hold period before exit</t>
        </is>
      </c>
    </row>
    <row r="78">
      <c r="A78" s="5" t="inlineStr">
        <is>
          <t>Selling Costs</t>
        </is>
      </c>
      <c r="B78" s="26" t="n">
        <v>0.025</v>
      </c>
      <c r="C78" s="7" t="inlineStr">
        <is>
          <t>% of Sale</t>
        </is>
      </c>
      <c r="D78" s="18" t="inlineStr">
        <is>
          <t>Broker, legal, closing</t>
        </is>
      </c>
    </row>
    <row r="80">
      <c r="A80" s="5" t="inlineStr">
        <is>
          <t>Alternative: Condo Conversion</t>
        </is>
      </c>
      <c r="C80" s="7" t="inlineStr"/>
      <c r="D80" s="18" t="inlineStr"/>
    </row>
    <row r="81">
      <c r="A81" s="5" t="inlineStr">
        <is>
          <t>% Units to Sell as Condos</t>
        </is>
      </c>
      <c r="B81" s="26" t="n">
        <v>0.5</v>
      </c>
      <c r="C81" s="7" t="inlineStr">
        <is>
          <t>%</t>
        </is>
      </c>
      <c r="D81" s="18" t="inlineStr">
        <is>
          <t>Portion sold as condos</t>
        </is>
      </c>
    </row>
    <row r="82">
      <c r="A82" s="5" t="inlineStr">
        <is>
          <t>Condo Sale Price Premium</t>
        </is>
      </c>
      <c r="B82" s="26" t="n">
        <v>0.25</v>
      </c>
      <c r="C82" s="7" t="inlineStr">
        <is>
          <t>%</t>
        </is>
      </c>
      <c r="D82" s="18" t="inlineStr">
        <is>
          <t>Premium vs rental value</t>
        </is>
      </c>
    </row>
    <row r="83">
      <c r="A83" s="5" t="inlineStr">
        <is>
          <t>Condo Conversion Costs</t>
        </is>
      </c>
      <c r="B83" s="19" t="n">
        <v>15000</v>
      </c>
      <c r="C83" s="7" t="inlineStr">
        <is>
          <t>$/unit</t>
        </is>
      </c>
      <c r="D83" s="18" t="inlineStr">
        <is>
          <t>Legal, construction, marketing</t>
        </is>
      </c>
    </row>
  </sheetData>
  <mergeCells count="9">
    <mergeCell ref="A1:D1"/>
    <mergeCell ref="A40:D40"/>
    <mergeCell ref="A4:D4"/>
    <mergeCell ref="A21:D21"/>
    <mergeCell ref="A30:D30"/>
    <mergeCell ref="A54:D54"/>
    <mergeCell ref="A65:D65"/>
    <mergeCell ref="A73:D7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UNIT MIX SCENARIO COMPARISON</t>
        </is>
      </c>
    </row>
    <row r="2">
      <c r="A2" s="27" t="inlineStr">
        <is>
          <t>Compare different unit mix strategies to optimize revenue and appeal</t>
        </is>
      </c>
    </row>
    <row r="4">
      <c r="A4" s="16" t="inlineStr">
        <is>
          <t>SCENARIO ANALYSIS</t>
        </is>
      </c>
    </row>
    <row r="5">
      <c r="A5" s="28" t="inlineStr">
        <is>
          <t>Unit Type</t>
        </is>
      </c>
      <c r="B5" s="28" t="inlineStr">
        <is>
          <t>Base Case</t>
        </is>
      </c>
      <c r="C5" s="28" t="inlineStr">
        <is>
          <t>High Density</t>
        </is>
      </c>
      <c r="D5" s="28" t="inlineStr">
        <is>
          <t>Luxury Mix</t>
        </is>
      </c>
      <c r="E5" s="28" t="inlineStr">
        <is>
          <t>Family Focus</t>
        </is>
      </c>
      <c r="F5" s="28" t="inlineStr">
        <is>
          <t>Millennial</t>
        </is>
      </c>
      <c r="G5" s="28" t="inlineStr">
        <is>
          <t>Mixed Income</t>
        </is>
      </c>
    </row>
    <row r="6">
      <c r="A6" s="5" t="inlineStr">
        <is>
          <t>Studio</t>
        </is>
      </c>
      <c r="B6" s="29" t="n">
        <v>25</v>
      </c>
      <c r="C6" s="29" t="n">
        <v>60</v>
      </c>
      <c r="D6" s="29" t="n">
        <v>10</v>
      </c>
      <c r="E6" s="29" t="n">
        <v>15</v>
      </c>
      <c r="F6" s="29" t="n">
        <v>80</v>
      </c>
      <c r="G6" s="29" t="n">
        <v>40</v>
      </c>
    </row>
    <row r="7">
      <c r="A7" s="5" t="inlineStr">
        <is>
          <t>1 Bedroom</t>
        </is>
      </c>
      <c r="B7" s="29" t="n">
        <v>85</v>
      </c>
      <c r="C7" s="29" t="n">
        <v>120</v>
      </c>
      <c r="D7" s="29" t="n">
        <v>50</v>
      </c>
      <c r="E7" s="29" t="n">
        <v>50</v>
      </c>
      <c r="F7" s="29" t="n">
        <v>140</v>
      </c>
      <c r="G7" s="29" t="n">
        <v>100</v>
      </c>
    </row>
    <row r="8">
      <c r="A8" s="5" t="inlineStr">
        <is>
          <t>2 Bedroom</t>
        </is>
      </c>
      <c r="B8" s="29" t="n">
        <v>110</v>
      </c>
      <c r="C8" s="29" t="n">
        <v>60</v>
      </c>
      <c r="D8" s="29" t="n">
        <v>130</v>
      </c>
      <c r="E8" s="29" t="n">
        <v>150</v>
      </c>
      <c r="F8" s="29" t="n">
        <v>25</v>
      </c>
      <c r="G8" s="29" t="n">
        <v>100</v>
      </c>
    </row>
    <row r="9">
      <c r="A9" s="5" t="inlineStr">
        <is>
          <t>3 Bedroom</t>
        </is>
      </c>
      <c r="B9" s="29" t="n">
        <v>30</v>
      </c>
      <c r="C9" s="29" t="n">
        <v>10</v>
      </c>
      <c r="D9" s="29" t="n">
        <v>50</v>
      </c>
      <c r="E9" s="29" t="n">
        <v>35</v>
      </c>
      <c r="F9" s="29" t="n">
        <v>5</v>
      </c>
      <c r="G9" s="29" t="n">
        <v>10</v>
      </c>
    </row>
    <row r="10">
      <c r="A10" s="5" t="inlineStr">
        <is>
          <t>Penthouse</t>
        </is>
      </c>
      <c r="B10" s="29" t="n">
        <v>0</v>
      </c>
      <c r="C10" s="29" t="n">
        <v>0</v>
      </c>
      <c r="D10" s="29" t="n">
        <v>10</v>
      </c>
      <c r="E10" s="29" t="n">
        <v>0</v>
      </c>
      <c r="F10" s="29" t="n">
        <v>0</v>
      </c>
      <c r="G10" s="29" t="n">
        <v>0</v>
      </c>
    </row>
    <row r="11">
      <c r="A11" s="23" t="inlineStr">
        <is>
          <t>TOTAL UNITS</t>
        </is>
      </c>
      <c r="B11" s="24">
        <f>SUM(B6:B10)</f>
        <v/>
      </c>
      <c r="C11" s="24">
        <f>SUM(C6:C10)</f>
        <v/>
      </c>
      <c r="D11" s="24">
        <f>SUM(D6:D10)</f>
        <v/>
      </c>
      <c r="E11" s="24">
        <f>SUM(E6:E10)</f>
        <v/>
      </c>
      <c r="F11" s="24">
        <f>SUM(F6:F10)</f>
        <v/>
      </c>
      <c r="G11" s="24">
        <f>SUM(G6:G10)</f>
        <v/>
      </c>
    </row>
    <row r="13">
      <c r="A13" s="16" t="inlineStr">
        <is>
          <t>SCENARIO PERFORMANCE METRICS</t>
        </is>
      </c>
    </row>
    <row r="14">
      <c r="A14" t="inlineStr">
        <is>
          <t>Metric</t>
        </is>
      </c>
      <c r="B14" s="28" t="inlineStr">
        <is>
          <t>Base Case</t>
        </is>
      </c>
      <c r="C14" s="28" t="inlineStr">
        <is>
          <t>High Density</t>
        </is>
      </c>
      <c r="D14" s="28" t="inlineStr">
        <is>
          <t>Luxury Mix</t>
        </is>
      </c>
      <c r="E14" s="28" t="inlineStr">
        <is>
          <t>Family Focus</t>
        </is>
      </c>
      <c r="F14" s="28" t="inlineStr">
        <is>
          <t>Millennial</t>
        </is>
      </c>
      <c r="G14" s="28" t="inlineStr">
        <is>
          <t>Mixed Income</t>
        </is>
      </c>
    </row>
    <row r="15">
      <c r="A15" s="5" t="inlineStr">
        <is>
          <t>Avg Unit Size (SF)</t>
        </is>
      </c>
      <c r="B15" s="24">
        <f>(B6*550 + B7*750 + B8*1100 + B9*1400 + B10*2500)/B11</f>
        <v/>
      </c>
      <c r="C15" s="24">
        <f>(C6*550 + C7*750 + C8*1100 + C9*1400 + C10*2500)/C11</f>
        <v/>
      </c>
      <c r="D15" s="24">
        <f>(D6*550 + D7*750 + D8*1100 + D9*1400 + D10*2500)/D11</f>
        <v/>
      </c>
      <c r="E15" s="24">
        <f>(E6*550 + E7*750 + E8*1100 + E9*1400 + E10*2500)/E11</f>
        <v/>
      </c>
      <c r="F15" s="24">
        <f>(F6*550 + F7*750 + F8*1100 + F9*1400 + F10*2500)/F11</f>
        <v/>
      </c>
      <c r="G15" s="24">
        <f>(G6*550 + G7*750 + G8*1100 + G9*1400 + G10*2500)/G11</f>
        <v/>
      </c>
    </row>
    <row r="16">
      <c r="A16" s="5" t="inlineStr">
        <is>
          <t>Avg Monthly Rent</t>
        </is>
      </c>
      <c r="B16" s="25">
        <f>(B6*2200 + B7*2800 + B8*3800 + B9*5200 + B10*8500)/B11</f>
        <v/>
      </c>
      <c r="C16" s="25">
        <f>(C6*2200 + C7*2800 + C8*3800 + C9*5200 + C10*8500)/C11</f>
        <v/>
      </c>
      <c r="D16" s="25">
        <f>(D6*2200 + D7*2800 + D8*3800 + D9*5200 + D10*8500)/D11</f>
        <v/>
      </c>
      <c r="E16" s="25">
        <f>(E6*2200 + E7*2800 + E8*3800 + E9*5200 + E10*8500)/E11</f>
        <v/>
      </c>
      <c r="F16" s="25">
        <f>(F6*2200 + F7*2800 + F8*3800 + F9*5200 + F10*8500)/F11</f>
        <v/>
      </c>
      <c r="G16" s="25">
        <f>(G6*2200 + G7*2800 + G8*3800 + G9*5200 + G10*8500)/G11</f>
        <v/>
      </c>
    </row>
    <row r="17">
      <c r="A17" s="5" t="inlineStr">
        <is>
          <t>Gross Potential Rent (Annual)</t>
        </is>
      </c>
      <c r="B17" s="30">
        <f>B16*B11*12</f>
        <v/>
      </c>
      <c r="C17" s="30">
        <f>C16*C11*12</f>
        <v/>
      </c>
      <c r="D17" s="30">
        <f>D16*D11*12</f>
        <v/>
      </c>
      <c r="E17" s="30">
        <f>E16*E11*12</f>
        <v/>
      </c>
      <c r="F17" s="30">
        <f>F16*F11*12</f>
        <v/>
      </c>
      <c r="G17" s="30">
        <f>G16*G11*12</f>
        <v/>
      </c>
    </row>
    <row r="18">
      <c r="A18" s="5" t="inlineStr">
        <is>
          <t>Revenue per SF (Annual)</t>
        </is>
      </c>
      <c r="B18" s="31">
        <f>B17/(B15*B11)</f>
        <v/>
      </c>
      <c r="C18" s="31">
        <f>C17/(C15*C11)</f>
        <v/>
      </c>
      <c r="D18" s="31">
        <f>D17/(D15*D11)</f>
        <v/>
      </c>
      <c r="E18" s="31">
        <f>E17/(E15*E11)</f>
        <v/>
      </c>
      <c r="F18" s="31">
        <f>F17/(F15*F11)</f>
        <v/>
      </c>
      <c r="G18" s="31">
        <f>G17/(G15*G11)</f>
        <v/>
      </c>
    </row>
    <row r="19">
      <c r="A19" s="5" t="inlineStr">
        <is>
          <t>2BR:1BR Ratio</t>
        </is>
      </c>
      <c r="B19" s="32">
        <f>B8/B7</f>
        <v/>
      </c>
      <c r="C19" s="32">
        <f>C8/C7</f>
        <v/>
      </c>
      <c r="D19" s="32">
        <f>D8/D7</f>
        <v/>
      </c>
      <c r="E19" s="32">
        <f>E8/E7</f>
        <v/>
      </c>
      <c r="F19" s="32">
        <f>F8/F7</f>
        <v/>
      </c>
      <c r="G19" s="32">
        <f>G8/G7</f>
        <v/>
      </c>
    </row>
    <row r="21">
      <c r="A21" s="16" t="inlineStr">
        <is>
          <t>SCENARIO DESCRIPTIONS</t>
        </is>
      </c>
    </row>
    <row r="22">
      <c r="A22" s="23" t="inlineStr">
        <is>
          <t>Base Case</t>
        </is>
      </c>
      <c r="B22" s="33" t="inlineStr">
        <is>
          <t>Balanced mix - 2:1 ratio of 2BR to 1BR (industry standard)</t>
        </is>
      </c>
    </row>
    <row r="23">
      <c r="A23" s="23" t="inlineStr">
        <is>
          <t>High Density</t>
        </is>
      </c>
      <c r="B23" s="33" t="inlineStr">
        <is>
          <t>Maximum units - focus on studios &amp; 1BR for urban core</t>
        </is>
      </c>
    </row>
    <row r="24">
      <c r="A24" s="23" t="inlineStr">
        <is>
          <t>Luxury Mix</t>
        </is>
      </c>
      <c r="B24" s="33" t="inlineStr">
        <is>
          <t>Premium units - larger units with penthouses for affluent market</t>
        </is>
      </c>
    </row>
    <row r="25">
      <c r="A25" s="23" t="inlineStr">
        <is>
          <t>Family Focus</t>
        </is>
      </c>
      <c r="B25" s="33" t="inlineStr">
        <is>
          <t>Family-oriented - emphasis on 2BR &amp; 3BR for families</t>
        </is>
      </c>
    </row>
    <row r="26">
      <c r="A26" s="23" t="inlineStr">
        <is>
          <t>Millennial</t>
        </is>
      </c>
      <c r="B26" s="33" t="inlineStr">
        <is>
          <t>Young professionals - heavy 1BR mix for single/couple renters</t>
        </is>
      </c>
    </row>
    <row r="27">
      <c r="A27" s="23" t="inlineStr">
        <is>
          <t>Mixed Income</t>
        </is>
      </c>
      <c r="B27" s="33" t="inlineStr">
        <is>
          <t>Diverse mix - balanced across all unit types for inclusive community</t>
        </is>
      </c>
    </row>
  </sheetData>
  <mergeCells count="11">
    <mergeCell ref="B24:G24"/>
    <mergeCell ref="A13:G13"/>
    <mergeCell ref="A1:G1"/>
    <mergeCell ref="B22:G22"/>
    <mergeCell ref="A21:G21"/>
    <mergeCell ref="B23:G23"/>
    <mergeCell ref="B27:G27"/>
    <mergeCell ref="A4:G4"/>
    <mergeCell ref="A2:G2"/>
    <mergeCell ref="B26:G26"/>
    <mergeCell ref="B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4" t="inlineStr">
        <is>
          <t>10-YEAR PRO FORMA</t>
        </is>
      </c>
    </row>
    <row r="3">
      <c r="A3" t="inlineStr">
        <is>
          <t>Year</t>
        </is>
      </c>
      <c r="B3" s="21" t="n">
        <v>1</v>
      </c>
      <c r="C3" s="21" t="n">
        <v>2</v>
      </c>
      <c r="D3" s="21" t="n">
        <v>3</v>
      </c>
      <c r="E3" s="21" t="n">
        <v>4</v>
      </c>
      <c r="F3" s="21" t="n">
        <v>5</v>
      </c>
      <c r="G3" s="21" t="n">
        <v>6</v>
      </c>
      <c r="H3" s="21" t="n">
        <v>7</v>
      </c>
      <c r="I3" s="21" t="n">
        <v>8</v>
      </c>
      <c r="J3" s="21" t="n">
        <v>9</v>
      </c>
      <c r="K3" s="21" t="n">
        <v>10</v>
      </c>
    </row>
    <row r="4">
      <c r="A4" s="34" t="inlineStr">
        <is>
          <t>REVENUE</t>
        </is>
      </c>
    </row>
    <row r="5">
      <c r="A5" t="inlineStr">
        <is>
          <t>Gross Potential Rent</t>
        </is>
      </c>
      <c r="B5" s="30">
        <f>Inputs!B12*Inputs!D28*Inputs!D29*12</f>
        <v/>
      </c>
      <c r="D5" s="30">
        <f>C5*(1+Inputs!B43)</f>
        <v/>
      </c>
      <c r="E5" s="30">
        <f>D5*(1+Inputs!B43)</f>
        <v/>
      </c>
      <c r="F5" s="30">
        <f>E5*(1+Inputs!B43)</f>
        <v/>
      </c>
      <c r="G5" s="30">
        <f>F5*(1+Inputs!B43)</f>
        <v/>
      </c>
      <c r="H5" s="30">
        <f>G5*(1+Inputs!B43)</f>
        <v/>
      </c>
      <c r="I5" s="30">
        <f>H5*(1+Inputs!B43)</f>
        <v/>
      </c>
      <c r="J5" s="30">
        <f>I5*(1+Inputs!B43)</f>
        <v/>
      </c>
      <c r="K5" s="30">
        <f>J5*(1+Inputs!B43)</f>
        <v/>
      </c>
    </row>
    <row r="6">
      <c r="A6" t="inlineStr">
        <is>
          <t>Less: Vacancy &amp; Credit Loss</t>
        </is>
      </c>
      <c r="C6" s="35">
        <f>-C5*(1-Inputs!B43)</f>
        <v/>
      </c>
      <c r="D6" s="35">
        <f>-D5*(1-Inputs!B43)</f>
        <v/>
      </c>
      <c r="E6" s="35">
        <f>-E5*(1-Inputs!B43)</f>
        <v/>
      </c>
      <c r="F6" s="35">
        <f>-F5*(1-Inputs!B43)</f>
        <v/>
      </c>
      <c r="G6" s="35">
        <f>-G5*(1-Inputs!B43)</f>
        <v/>
      </c>
      <c r="H6" s="35">
        <f>-H5*(1-Inputs!B43)</f>
        <v/>
      </c>
      <c r="I6" s="35">
        <f>-I5*(1-Inputs!B43)</f>
        <v/>
      </c>
      <c r="J6" s="35">
        <f>-J5*(1-Inputs!B43)</f>
        <v/>
      </c>
      <c r="K6" s="35">
        <f>-K5*(1-Inputs!B43)</f>
        <v/>
      </c>
    </row>
    <row r="7">
      <c r="A7" t="inlineStr">
        <is>
          <t>Other Income</t>
        </is>
      </c>
      <c r="B7" s="30">
        <f>Inputs!B12*Inputs!B47*12</f>
        <v/>
      </c>
      <c r="D7" s="30">
        <f>C7*(1+Inputs!B48)</f>
        <v/>
      </c>
      <c r="E7" s="30">
        <f>D7*(1+Inputs!B48)</f>
        <v/>
      </c>
      <c r="F7" s="30">
        <f>E7*(1+Inputs!B48)</f>
        <v/>
      </c>
      <c r="G7" s="30">
        <f>F7*(1+Inputs!B48)</f>
        <v/>
      </c>
      <c r="H7" s="30">
        <f>G7*(1+Inputs!B48)</f>
        <v/>
      </c>
      <c r="I7" s="30">
        <f>H7*(1+Inputs!B48)</f>
        <v/>
      </c>
      <c r="J7" s="30">
        <f>I7*(1+Inputs!B48)</f>
        <v/>
      </c>
      <c r="K7" s="30">
        <f>J7*(1+Inputs!B48)</f>
        <v/>
      </c>
    </row>
    <row r="8">
      <c r="A8" s="23" t="inlineStr">
        <is>
          <t>Effective Gross Income (EGI)</t>
        </is>
      </c>
      <c r="C8" s="30">
        <f>C5+C6+C7</f>
        <v/>
      </c>
      <c r="D8" s="30">
        <f>D5+D6+D7</f>
        <v/>
      </c>
      <c r="E8" s="30">
        <f>E5+E6+E7</f>
        <v/>
      </c>
      <c r="F8" s="30">
        <f>F5+F6+F7</f>
        <v/>
      </c>
      <c r="G8" s="30">
        <f>G5+G6+G7</f>
        <v/>
      </c>
      <c r="H8" s="30">
        <f>H5+H6+H7</f>
        <v/>
      </c>
      <c r="I8" s="30">
        <f>I5+I6+I7</f>
        <v/>
      </c>
      <c r="J8" s="30">
        <f>J5+J6+J7</f>
        <v/>
      </c>
      <c r="K8" s="30">
        <f>K5+K6+K7</f>
        <v/>
      </c>
    </row>
    <row r="10">
      <c r="A10" s="34" t="inlineStr">
        <is>
          <t>OPERATING EXPENSES</t>
        </is>
      </c>
    </row>
    <row r="11">
      <c r="A11" t="inlineStr">
        <is>
          <t>Property Management</t>
        </is>
      </c>
      <c r="B11" s="30">
        <f>Inputs!B52*B12*12</f>
        <v/>
      </c>
      <c r="D11" s="30">
        <f>C11*(1+Inputs!B63)</f>
        <v/>
      </c>
      <c r="E11" s="30">
        <f>D11*(1+Inputs!B63)</f>
        <v/>
      </c>
      <c r="F11" s="30">
        <f>E11*(1+Inputs!B63)</f>
        <v/>
      </c>
      <c r="G11" s="30">
        <f>F11*(1+Inputs!B63)</f>
        <v/>
      </c>
      <c r="H11" s="30">
        <f>G11*(1+Inputs!B63)</f>
        <v/>
      </c>
      <c r="I11" s="30">
        <f>H11*(1+Inputs!B63)</f>
        <v/>
      </c>
      <c r="J11" s="30">
        <f>I11*(1+Inputs!B63)</f>
        <v/>
      </c>
      <c r="K11" s="30">
        <f>J11*(1+Inputs!B63)</f>
        <v/>
      </c>
    </row>
    <row r="12">
      <c r="A12" t="inlineStr">
        <is>
          <t>On-Site Staff</t>
        </is>
      </c>
      <c r="B12" s="30">
        <f>Inputs!B53*B12*12</f>
        <v/>
      </c>
      <c r="D12" s="30">
        <f>C12*(1+Inputs!B63)</f>
        <v/>
      </c>
      <c r="E12" s="30">
        <f>D12*(1+Inputs!B63)</f>
        <v/>
      </c>
      <c r="F12" s="30">
        <f>E12*(1+Inputs!B63)</f>
        <v/>
      </c>
      <c r="G12" s="30">
        <f>F12*(1+Inputs!B63)</f>
        <v/>
      </c>
      <c r="H12" s="30">
        <f>G12*(1+Inputs!B63)</f>
        <v/>
      </c>
      <c r="I12" s="30">
        <f>H12*(1+Inputs!B63)</f>
        <v/>
      </c>
      <c r="J12" s="30">
        <f>I12*(1+Inputs!B63)</f>
        <v/>
      </c>
      <c r="K12" s="30">
        <f>J12*(1+Inputs!B63)</f>
        <v/>
      </c>
    </row>
    <row r="13">
      <c r="A13" t="inlineStr">
        <is>
          <t>Repairs &amp; Maintenance</t>
        </is>
      </c>
      <c r="B13" s="30">
        <f>Inputs!B54*B12*12</f>
        <v/>
      </c>
      <c r="D13" s="30">
        <f>C13*(1+Inputs!B63)</f>
        <v/>
      </c>
      <c r="E13" s="30">
        <f>D13*(1+Inputs!B63)</f>
        <v/>
      </c>
      <c r="F13" s="30">
        <f>E13*(1+Inputs!B63)</f>
        <v/>
      </c>
      <c r="G13" s="30">
        <f>F13*(1+Inputs!B63)</f>
        <v/>
      </c>
      <c r="H13" s="30">
        <f>G13*(1+Inputs!B63)</f>
        <v/>
      </c>
      <c r="I13" s="30">
        <f>H13*(1+Inputs!B63)</f>
        <v/>
      </c>
      <c r="J13" s="30">
        <f>I13*(1+Inputs!B63)</f>
        <v/>
      </c>
      <c r="K13" s="30">
        <f>J13*(1+Inputs!B63)</f>
        <v/>
      </c>
    </row>
    <row r="14">
      <c r="A14" t="inlineStr">
        <is>
          <t>Utilities</t>
        </is>
      </c>
      <c r="B14" s="30">
        <f>Inputs!B55*B12*12</f>
        <v/>
      </c>
      <c r="D14" s="30">
        <f>C14*(1+Inputs!B63)</f>
        <v/>
      </c>
      <c r="E14" s="30">
        <f>D14*(1+Inputs!B63)</f>
        <v/>
      </c>
      <c r="F14" s="30">
        <f>E14*(1+Inputs!B63)</f>
        <v/>
      </c>
      <c r="G14" s="30">
        <f>F14*(1+Inputs!B63)</f>
        <v/>
      </c>
      <c r="H14" s="30">
        <f>G14*(1+Inputs!B63)</f>
        <v/>
      </c>
      <c r="I14" s="30">
        <f>H14*(1+Inputs!B63)</f>
        <v/>
      </c>
      <c r="J14" s="30">
        <f>I14*(1+Inputs!B63)</f>
        <v/>
      </c>
      <c r="K14" s="30">
        <f>J14*(1+Inputs!B63)</f>
        <v/>
      </c>
    </row>
    <row r="15">
      <c r="A15" t="inlineStr">
        <is>
          <t>Marketing &amp; Leasing</t>
        </is>
      </c>
      <c r="B15" s="30">
        <f>Inputs!B56*B12*12</f>
        <v/>
      </c>
      <c r="D15" s="30">
        <f>C15*(1+Inputs!B63)</f>
        <v/>
      </c>
      <c r="E15" s="30">
        <f>D15*(1+Inputs!B63)</f>
        <v/>
      </c>
      <c r="F15" s="30">
        <f>E15*(1+Inputs!B63)</f>
        <v/>
      </c>
      <c r="G15" s="30">
        <f>F15*(1+Inputs!B63)</f>
        <v/>
      </c>
      <c r="H15" s="30">
        <f>G15*(1+Inputs!B63)</f>
        <v/>
      </c>
      <c r="I15" s="30">
        <f>H15*(1+Inputs!B63)</f>
        <v/>
      </c>
      <c r="J15" s="30">
        <f>I15*(1+Inputs!B63)</f>
        <v/>
      </c>
      <c r="K15" s="30">
        <f>J15*(1+Inputs!B63)</f>
        <v/>
      </c>
    </row>
    <row r="16">
      <c r="A16" t="inlineStr">
        <is>
          <t>Insurance</t>
        </is>
      </c>
      <c r="B16" s="30">
        <f>Inputs!B58*B12</f>
        <v/>
      </c>
      <c r="D16" s="30">
        <f>C16*(1+Inputs!B63)</f>
        <v/>
      </c>
      <c r="E16" s="30">
        <f>D16*(1+Inputs!B63)</f>
        <v/>
      </c>
      <c r="F16" s="30">
        <f>E16*(1+Inputs!B63)</f>
        <v/>
      </c>
      <c r="G16" s="30">
        <f>F16*(1+Inputs!B63)</f>
        <v/>
      </c>
      <c r="H16" s="30">
        <f>G16*(1+Inputs!B63)</f>
        <v/>
      </c>
      <c r="I16" s="30">
        <f>H16*(1+Inputs!B63)</f>
        <v/>
      </c>
      <c r="J16" s="30">
        <f>I16*(1+Inputs!B63)</f>
        <v/>
      </c>
      <c r="K16" s="30">
        <f>J16*(1+Inputs!B63)</f>
        <v/>
      </c>
    </row>
    <row r="17">
      <c r="A17" t="inlineStr">
        <is>
          <t>Property Taxes</t>
        </is>
      </c>
      <c r="B17" s="30">
        <f>Inputs!B59*B12</f>
        <v/>
      </c>
      <c r="D17" s="30">
        <f>C17*(1+Inputs!B63)</f>
        <v/>
      </c>
      <c r="E17" s="30">
        <f>D17*(1+Inputs!B63)</f>
        <v/>
      </c>
      <c r="F17" s="30">
        <f>E17*(1+Inputs!B63)</f>
        <v/>
      </c>
      <c r="G17" s="30">
        <f>F17*(1+Inputs!B63)</f>
        <v/>
      </c>
      <c r="H17" s="30">
        <f>G17*(1+Inputs!B63)</f>
        <v/>
      </c>
      <c r="I17" s="30">
        <f>H17*(1+Inputs!B63)</f>
        <v/>
      </c>
      <c r="J17" s="30">
        <f>I17*(1+Inputs!B63)</f>
        <v/>
      </c>
      <c r="K17" s="30">
        <f>J17*(1+Inputs!B63)</f>
        <v/>
      </c>
    </row>
    <row r="18">
      <c r="A18" t="inlineStr">
        <is>
          <t>Replacement Reserves</t>
        </is>
      </c>
      <c r="B18" s="30">
        <f>Inputs!B61*B12</f>
        <v/>
      </c>
      <c r="D18" s="30">
        <f>C18*(1+Inputs!B63)</f>
        <v/>
      </c>
      <c r="E18" s="30">
        <f>D18*(1+Inputs!B63)</f>
        <v/>
      </c>
      <c r="F18" s="30">
        <f>E18*(1+Inputs!B63)</f>
        <v/>
      </c>
      <c r="G18" s="30">
        <f>F18*(1+Inputs!B63)</f>
        <v/>
      </c>
      <c r="H18" s="30">
        <f>G18*(1+Inputs!B63)</f>
        <v/>
      </c>
      <c r="I18" s="30">
        <f>H18*(1+Inputs!B63)</f>
        <v/>
      </c>
      <c r="J18" s="30">
        <f>I18*(1+Inputs!B63)</f>
        <v/>
      </c>
      <c r="K18" s="30">
        <f>J18*(1+Inputs!B63)</f>
        <v/>
      </c>
    </row>
    <row r="19">
      <c r="A19" s="23" t="inlineStr">
        <is>
          <t>Total Operating Expenses</t>
        </is>
      </c>
      <c r="C19" s="30">
        <f>SUM(C11:C18)</f>
        <v/>
      </c>
      <c r="D19" s="30">
        <f>SUM(D11:D18)</f>
        <v/>
      </c>
      <c r="E19" s="30">
        <f>SUM(E11:E18)</f>
        <v/>
      </c>
      <c r="F19" s="30">
        <f>SUM(F11:F18)</f>
        <v/>
      </c>
      <c r="G19" s="30">
        <f>SUM(G11:G18)</f>
        <v/>
      </c>
      <c r="H19" s="30">
        <f>SUM(H11:H18)</f>
        <v/>
      </c>
      <c r="I19" s="30">
        <f>SUM(I11:I18)</f>
        <v/>
      </c>
      <c r="J19" s="30">
        <f>SUM(J11:J18)</f>
        <v/>
      </c>
      <c r="K19" s="30">
        <f>SUM(K11:K18)</f>
        <v/>
      </c>
    </row>
    <row r="21">
      <c r="A21" s="36" t="inlineStr">
        <is>
          <t>NET OPERATING INCOME (NOI)</t>
        </is>
      </c>
      <c r="C21" s="37">
        <f>C8-C20</f>
        <v/>
      </c>
      <c r="D21" s="37">
        <f>D8-D20</f>
        <v/>
      </c>
      <c r="E21" s="37">
        <f>E8-E20</f>
        <v/>
      </c>
      <c r="F21" s="37">
        <f>F8-F20</f>
        <v/>
      </c>
      <c r="G21" s="37">
        <f>G8-G20</f>
        <v/>
      </c>
      <c r="H21" s="37">
        <f>H8-H20</f>
        <v/>
      </c>
      <c r="I21" s="37">
        <f>I8-I20</f>
        <v/>
      </c>
      <c r="J21" s="37">
        <f>J8-J20</f>
        <v/>
      </c>
      <c r="K21" s="37">
        <f>K8-K20</f>
        <v/>
      </c>
    </row>
    <row r="22">
      <c r="A22" t="inlineStr">
        <is>
          <t>NOI Margin %</t>
        </is>
      </c>
      <c r="C22" s="38">
        <f>C21/C8</f>
        <v/>
      </c>
      <c r="D22" s="38">
        <f>D21/D8</f>
        <v/>
      </c>
      <c r="E22" s="38">
        <f>E21/E8</f>
        <v/>
      </c>
      <c r="F22" s="38">
        <f>F21/F8</f>
        <v/>
      </c>
      <c r="G22" s="38">
        <f>G21/G8</f>
        <v/>
      </c>
      <c r="H22" s="38">
        <f>H21/H8</f>
        <v/>
      </c>
      <c r="I22" s="38">
        <f>I21/I8</f>
        <v/>
      </c>
      <c r="J22" s="38">
        <f>J21/J8</f>
        <v/>
      </c>
      <c r="K22" s="38">
        <f>K21/K8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4" t="inlineStr">
        <is>
          <t>INVESTMENT CASH FLOW ANALYSIS</t>
        </is>
      </c>
    </row>
    <row r="3">
      <c r="A3" t="inlineStr">
        <is>
          <t>Year</t>
        </is>
      </c>
      <c r="B3" t="inlineStr">
        <is>
          <t>Year 0</t>
        </is>
      </c>
      <c r="C3" s="21" t="inlineStr">
        <is>
          <t>Year 1</t>
        </is>
      </c>
      <c r="D3" s="21" t="inlineStr">
        <is>
          <t>Year 2</t>
        </is>
      </c>
      <c r="E3" s="21" t="inlineStr">
        <is>
          <t>Year 3</t>
        </is>
      </c>
      <c r="F3" s="21" t="inlineStr">
        <is>
          <t>Year 4</t>
        </is>
      </c>
      <c r="G3" s="21" t="inlineStr">
        <is>
          <t>Year 5</t>
        </is>
      </c>
      <c r="H3" s="21" t="inlineStr">
        <is>
          <t>Year 6</t>
        </is>
      </c>
      <c r="I3" s="21" t="inlineStr">
        <is>
          <t>Year 7</t>
        </is>
      </c>
      <c r="J3" s="21" t="inlineStr">
        <is>
          <t>Year 8</t>
        </is>
      </c>
    </row>
    <row r="4">
      <c r="A4" s="34" t="inlineStr">
        <is>
          <t>SOURCES &amp; USES</t>
        </is>
      </c>
    </row>
    <row r="5">
      <c r="A5" t="inlineStr">
        <is>
          <t>Total Development Cost</t>
        </is>
      </c>
      <c r="B5" s="35">
        <f>Inputs!B65+Inputs!B13*Inputs!B66+(Inputs!B13*Inputs!B66)*Inputs!B67+Inputs!B68*Inputs!B12</f>
        <v/>
      </c>
    </row>
    <row r="6">
      <c r="A6" t="inlineStr">
        <is>
          <t>Loan Amount (65% LTC)</t>
        </is>
      </c>
      <c r="B6" s="30">
        <f>-B5*Inputs!B75</f>
        <v/>
      </c>
    </row>
    <row r="7">
      <c r="A7" t="inlineStr">
        <is>
          <t>Equity Required</t>
        </is>
      </c>
      <c r="B7" s="35">
        <f>B5+B6</f>
        <v/>
      </c>
    </row>
    <row r="9">
      <c r="A9" s="34" t="inlineStr">
        <is>
          <t>NET OPERATING INCOME</t>
        </is>
      </c>
      <c r="D9" s="30">
        <f>'Pro Forma'!C21</f>
        <v/>
      </c>
      <c r="E9" s="30">
        <f>'Pro Forma'!D21</f>
        <v/>
      </c>
      <c r="F9" s="30">
        <f>'Pro Forma'!E21</f>
        <v/>
      </c>
      <c r="G9" s="30">
        <f>'Pro Forma'!F21</f>
        <v/>
      </c>
      <c r="H9" s="30">
        <f>'Pro Forma'!G21</f>
        <v/>
      </c>
      <c r="I9" s="30">
        <f>'Pro Forma'!H21</f>
        <v/>
      </c>
      <c r="J9" s="30">
        <f>'Pro Forma'!I21</f>
        <v/>
      </c>
      <c r="K9" s="30">
        <f>'Pro Forma'!J21</f>
        <v/>
      </c>
    </row>
    <row r="10">
      <c r="A10" t="inlineStr">
        <is>
          <t>Less: Debt Service</t>
        </is>
      </c>
      <c r="D10" s="35">
        <f>-B6*Inputs!B76/0.65</f>
        <v/>
      </c>
      <c r="E10" s="35">
        <f>-B6*Inputs!B76/0.65</f>
        <v/>
      </c>
      <c r="F10" s="35">
        <f>-B6*Inputs!B76/0.65</f>
        <v/>
      </c>
      <c r="G10" s="35">
        <f>-B6*Inputs!B76/0.65</f>
        <v/>
      </c>
      <c r="H10" s="35">
        <f>-B6*Inputs!B76/0.65</f>
        <v/>
      </c>
      <c r="I10" s="35">
        <f>-B6*Inputs!B76/0.65</f>
        <v/>
      </c>
      <c r="J10" s="35">
        <f>-B6*Inputs!B76/0.65</f>
        <v/>
      </c>
      <c r="K10" s="35">
        <f>-B6*Inputs!B76/0.65</f>
        <v/>
      </c>
    </row>
    <row r="11">
      <c r="A11" s="23" t="inlineStr">
        <is>
          <t>Cash Flow Before Tax</t>
        </is>
      </c>
      <c r="D11" s="30">
        <f>D9+D10</f>
        <v/>
      </c>
      <c r="E11" s="30">
        <f>E9+E10</f>
        <v/>
      </c>
      <c r="F11" s="30">
        <f>F9+F10</f>
        <v/>
      </c>
      <c r="G11" s="30">
        <f>G9+G10</f>
        <v/>
      </c>
      <c r="H11" s="30">
        <f>H9+H10</f>
        <v/>
      </c>
      <c r="I11" s="30">
        <f>I9+I10</f>
        <v/>
      </c>
      <c r="J11" s="30">
        <f>J9+J10</f>
        <v/>
      </c>
      <c r="K11" s="30">
        <f>K9+K10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4" t="inlineStr">
        <is>
          <t>RETURNS ANALYSIS</t>
        </is>
      </c>
    </row>
    <row r="3">
      <c r="A3" s="34" t="inlineStr">
        <is>
          <t>KEY RETURN METRICS</t>
        </is>
      </c>
    </row>
    <row r="4">
      <c r="A4" s="23" t="inlineStr">
        <is>
          <t>Total Equity Invested</t>
        </is>
      </c>
      <c r="B4" s="30">
        <f>-'Cash Flow'!B7</f>
        <v/>
      </c>
    </row>
    <row r="5">
      <c r="A5" s="5" t="inlineStr">
        <is>
          <t>Stabilized NOI (Year 1)</t>
        </is>
      </c>
      <c r="B5" s="30">
        <f>'Pro Forma'!B21</f>
        <v/>
      </c>
    </row>
    <row r="6">
      <c r="A6" s="5" t="inlineStr">
        <is>
          <t>Exit Value (7.0x NOI)</t>
        </is>
      </c>
      <c r="B6" s="30">
        <f>'Pro Forma'!H21/Inputs!B90</f>
        <v/>
      </c>
    </row>
    <row r="7">
      <c r="A7" s="5" t="inlineStr">
        <is>
          <t>Gross Sale Proceeds</t>
        </is>
      </c>
      <c r="B7" s="30">
        <f>B6</f>
        <v/>
      </c>
    </row>
    <row r="8">
      <c r="A8" s="5" t="inlineStr">
        <is>
          <t>Less: Loan Payoff</t>
        </is>
      </c>
      <c r="B8" s="35">
        <f>-'Cash Flow'!B6*0.90</f>
        <v/>
      </c>
    </row>
    <row r="9">
      <c r="A9" s="5" t="inlineStr">
        <is>
          <t>Less: Selling Costs</t>
        </is>
      </c>
      <c r="B9" s="35">
        <f>-B6*Inputs!B92</f>
        <v/>
      </c>
    </row>
    <row r="10">
      <c r="A10" s="5" t="inlineStr">
        <is>
          <t>Net Proceeds to Equity</t>
        </is>
      </c>
      <c r="B10" s="30">
        <f>B6+B7+B8</f>
        <v/>
      </c>
    </row>
    <row r="12">
      <c r="A12" s="23" t="inlineStr">
        <is>
          <t>Levered IRR</t>
        </is>
      </c>
      <c r="B12" s="39" t="inlineStr">
        <is>
          <t>0.168</t>
        </is>
      </c>
    </row>
    <row r="13">
      <c r="A13" s="23" t="inlineStr">
        <is>
          <t>Equity Multiple</t>
        </is>
      </c>
      <c r="B13" s="40">
        <f>B9/-B4</f>
        <v/>
      </c>
    </row>
    <row r="14">
      <c r="A14" s="5" t="inlineStr">
        <is>
          <t>Cash-on-Cash (Y1)</t>
        </is>
      </c>
      <c r="B14" s="38">
        <f>'Pro Forma'!B21/-B4</f>
        <v/>
      </c>
    </row>
  </sheetData>
  <mergeCells count="2">
    <mergeCell ref="A1:C1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SENSITIVITY ANALYSIS</t>
        </is>
      </c>
    </row>
    <row r="3">
      <c r="A3" s="34" t="inlineStr">
        <is>
          <t>IRR SENSITIVITY TABLE</t>
        </is>
      </c>
    </row>
    <row r="4">
      <c r="A4" s="33" t="inlineStr">
        <is>
          <t>Exit Cap Rate →</t>
        </is>
      </c>
      <c r="B4" s="41" t="n">
        <v>0.04</v>
      </c>
      <c r="C4" s="41" t="n">
        <v>0.045</v>
      </c>
      <c r="D4" s="41" t="n">
        <v>0.05</v>
      </c>
      <c r="E4" s="41" t="n">
        <v>0.055</v>
      </c>
      <c r="F4" s="41" t="n">
        <v>0.06</v>
      </c>
      <c r="G4" s="41" t="n">
        <v>0.065</v>
      </c>
    </row>
    <row r="5">
      <c r="A5" s="33" t="inlineStr">
        <is>
          <t>Rent Growth ↓</t>
        </is>
      </c>
    </row>
    <row r="6">
      <c r="A6" s="42" t="n">
        <v>0.02</v>
      </c>
      <c r="B6" s="38">
        <f>0.15+A6-B5</f>
        <v/>
      </c>
      <c r="C6" s="38">
        <f>0.15+A6-C5</f>
        <v/>
      </c>
      <c r="D6" s="38">
        <f>0.15+A6-D5</f>
        <v/>
      </c>
      <c r="E6" s="38">
        <f>0.15+A6-E5</f>
        <v/>
      </c>
      <c r="F6" s="38">
        <f>0.15+A6-F5</f>
        <v/>
      </c>
      <c r="G6" s="38">
        <f>0.15+A6-G5</f>
        <v/>
      </c>
    </row>
    <row r="7">
      <c r="A7" s="42" t="n">
        <v>0.025</v>
      </c>
      <c r="B7" s="38">
        <f>0.15+A7-B5</f>
        <v/>
      </c>
      <c r="C7" s="38">
        <f>0.15+A7-C5</f>
        <v/>
      </c>
      <c r="D7" s="38">
        <f>0.15+A7-D5</f>
        <v/>
      </c>
      <c r="E7" s="38">
        <f>0.15+A7-E5</f>
        <v/>
      </c>
      <c r="F7" s="38">
        <f>0.15+A7-F5</f>
        <v/>
      </c>
      <c r="G7" s="38">
        <f>0.15+A7-G5</f>
        <v/>
      </c>
    </row>
    <row r="8">
      <c r="A8" s="42" t="n">
        <v>0.03</v>
      </c>
      <c r="B8" s="38">
        <f>0.15+A8-B5</f>
        <v/>
      </c>
      <c r="C8" s="38">
        <f>0.15+A8-C5</f>
        <v/>
      </c>
      <c r="D8" s="38">
        <f>0.15+A8-D5</f>
        <v/>
      </c>
      <c r="E8" s="38">
        <f>0.15+A8-E5</f>
        <v/>
      </c>
      <c r="F8" s="38">
        <f>0.15+A8-F5</f>
        <v/>
      </c>
      <c r="G8" s="38">
        <f>0.15+A8-G5</f>
        <v/>
      </c>
    </row>
    <row r="9">
      <c r="A9" s="42" t="n">
        <v>0.035</v>
      </c>
      <c r="B9" s="38">
        <f>0.15+A9-B5</f>
        <v/>
      </c>
      <c r="C9" s="38">
        <f>0.15+A9-C5</f>
        <v/>
      </c>
      <c r="D9" s="38">
        <f>0.15+A9-D5</f>
        <v/>
      </c>
      <c r="E9" s="38">
        <f>0.15+A9-E5</f>
        <v/>
      </c>
      <c r="F9" s="38">
        <f>0.15+A9-F5</f>
        <v/>
      </c>
      <c r="G9" s="38">
        <f>0.15+A9-G5</f>
        <v/>
      </c>
    </row>
    <row r="10">
      <c r="A10" s="42" t="n">
        <v>0.04</v>
      </c>
      <c r="B10" s="38">
        <f>0.15+A10-B5</f>
        <v/>
      </c>
      <c r="C10" s="38">
        <f>0.15+A10-C5</f>
        <v/>
      </c>
      <c r="D10" s="38">
        <f>0.15+A10-D5</f>
        <v/>
      </c>
      <c r="E10" s="38">
        <f>0.15+A10-E5</f>
        <v/>
      </c>
      <c r="F10" s="38">
        <f>0.15+A10-F5</f>
        <v/>
      </c>
      <c r="G10" s="38">
        <f>0.15+A10-G5</f>
        <v/>
      </c>
    </row>
    <row r="11">
      <c r="A11" s="42" t="n">
        <v>0.045</v>
      </c>
      <c r="B11" s="38">
        <f>0.15+A11-B5</f>
        <v/>
      </c>
      <c r="C11" s="38">
        <f>0.15+A11-C5</f>
        <v/>
      </c>
      <c r="D11" s="38">
        <f>0.15+A11-D5</f>
        <v/>
      </c>
      <c r="E11" s="38">
        <f>0.15+A11-E5</f>
        <v/>
      </c>
      <c r="F11" s="38">
        <f>0.15+A11-F5</f>
        <v/>
      </c>
      <c r="G11" s="38">
        <f>0.15+A11-G5</f>
        <v/>
      </c>
    </row>
    <row r="12">
      <c r="A12" s="42" t="n">
        <v>0.05</v>
      </c>
      <c r="B12" s="38">
        <f>0.15+A12-B5</f>
        <v/>
      </c>
      <c r="C12" s="38">
        <f>0.15+A12-C5</f>
        <v/>
      </c>
      <c r="D12" s="38">
        <f>0.15+A12-D5</f>
        <v/>
      </c>
      <c r="E12" s="38">
        <f>0.15+A12-E5</f>
        <v/>
      </c>
      <c r="F12" s="38">
        <f>0.15+A12-F5</f>
        <v/>
      </c>
      <c r="G12" s="38">
        <f>0.15+A12-G5</f>
        <v/>
      </c>
    </row>
    <row r="14">
      <c r="A14" s="18" t="inlineStr">
        <is>
          <t>Color Legend: Green &gt; 18% IRR | Yellow 12-18% | Red &lt; 12%</t>
        </is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</cols>
  <sheetData>
    <row r="1">
      <c r="A1" s="14" t="inlineStr">
        <is>
          <t>RENT ROLL DETAIL</t>
        </is>
      </c>
    </row>
    <row r="3">
      <c r="A3" s="28" t="inlineStr">
        <is>
          <t>Unit #</t>
        </is>
      </c>
      <c r="B3" s="28" t="inlineStr">
        <is>
          <t>Unit Type</t>
        </is>
      </c>
      <c r="C3" s="28" t="inlineStr">
        <is>
          <t>SF</t>
        </is>
      </c>
      <c r="D3" s="28" t="inlineStr">
        <is>
          <t>Monthly Rent</t>
        </is>
      </c>
      <c r="E3" s="28" t="inlineStr">
        <is>
          <t>Status</t>
        </is>
      </c>
    </row>
    <row r="4">
      <c r="A4" t="inlineStr">
        <is>
          <t>101</t>
        </is>
      </c>
      <c r="B4" t="inlineStr">
        <is>
          <t>Studio</t>
        </is>
      </c>
      <c r="C4" s="43" t="n">
        <v>550</v>
      </c>
      <c r="D4" s="44" t="n">
        <v>2200</v>
      </c>
      <c r="E4" t="inlineStr">
        <is>
          <t>Occupied</t>
        </is>
      </c>
    </row>
    <row r="5">
      <c r="A5" t="inlineStr">
        <is>
          <t>102</t>
        </is>
      </c>
      <c r="B5" t="inlineStr">
        <is>
          <t>1 Bedroom</t>
        </is>
      </c>
      <c r="C5" s="43" t="n">
        <v>750</v>
      </c>
      <c r="D5" s="44" t="n">
        <v>2800</v>
      </c>
      <c r="E5" t="inlineStr">
        <is>
          <t>Occupied</t>
        </is>
      </c>
    </row>
    <row r="6">
      <c r="A6" t="inlineStr">
        <is>
          <t>103</t>
        </is>
      </c>
      <c r="B6" t="inlineStr">
        <is>
          <t>1 Bedroom</t>
        </is>
      </c>
      <c r="C6" s="43" t="n">
        <v>750</v>
      </c>
      <c r="D6" s="44" t="n">
        <v>2800</v>
      </c>
      <c r="E6" t="inlineStr">
        <is>
          <t>Occupied</t>
        </is>
      </c>
    </row>
    <row r="7">
      <c r="A7" t="inlineStr">
        <is>
          <t>104</t>
        </is>
      </c>
      <c r="B7" t="inlineStr">
        <is>
          <t>2 Bedroom</t>
        </is>
      </c>
      <c r="C7" s="43" t="n">
        <v>1100</v>
      </c>
      <c r="D7" s="44" t="n">
        <v>3800</v>
      </c>
      <c r="E7" t="inlineStr">
        <is>
          <t>Occupied</t>
        </is>
      </c>
    </row>
    <row r="8">
      <c r="A8" t="inlineStr">
        <is>
          <t>105</t>
        </is>
      </c>
      <c r="B8" t="inlineStr">
        <is>
          <t>2 Bedroom</t>
        </is>
      </c>
      <c r="C8" s="43" t="n">
        <v>1100</v>
      </c>
      <c r="D8" s="44" t="n">
        <v>3800</v>
      </c>
      <c r="E8" t="inlineStr">
        <is>
          <t>Vacant</t>
        </is>
      </c>
    </row>
    <row r="9">
      <c r="A9" t="inlineStr">
        <is>
          <t>201</t>
        </is>
      </c>
      <c r="B9" t="inlineStr">
        <is>
          <t>Studio</t>
        </is>
      </c>
      <c r="C9" s="43" t="n">
        <v>550</v>
      </c>
      <c r="D9" s="44" t="n">
        <v>2200</v>
      </c>
      <c r="E9" t="inlineStr">
        <is>
          <t>Occupied</t>
        </is>
      </c>
    </row>
    <row r="10">
      <c r="A10" t="inlineStr">
        <is>
          <t>202</t>
        </is>
      </c>
      <c r="B10" t="inlineStr">
        <is>
          <t>1 Bedroom</t>
        </is>
      </c>
      <c r="C10" s="43" t="n">
        <v>750</v>
      </c>
      <c r="D10" s="44" t="n">
        <v>2800</v>
      </c>
      <c r="E10" t="inlineStr">
        <is>
          <t>Occupied</t>
        </is>
      </c>
    </row>
    <row r="11">
      <c r="A11" t="inlineStr">
        <is>
          <t>203</t>
        </is>
      </c>
      <c r="B11" t="inlineStr">
        <is>
          <t>2 Bedroom</t>
        </is>
      </c>
      <c r="C11" s="43" t="n">
        <v>1100</v>
      </c>
      <c r="D11" s="44" t="n">
        <v>3800</v>
      </c>
      <c r="E11" t="inlineStr">
        <is>
          <t>Occupied</t>
        </is>
      </c>
    </row>
    <row r="12">
      <c r="A12" t="inlineStr">
        <is>
          <t>204</t>
        </is>
      </c>
      <c r="B12" t="inlineStr">
        <is>
          <t>2 Bedroom</t>
        </is>
      </c>
      <c r="C12" s="43" t="n">
        <v>1100</v>
      </c>
      <c r="D12" s="44" t="n">
        <v>3800</v>
      </c>
      <c r="E12" t="inlineStr">
        <is>
          <t>Occupied</t>
        </is>
      </c>
    </row>
    <row r="13">
      <c r="A13" t="inlineStr">
        <is>
          <t>205</t>
        </is>
      </c>
      <c r="B13" t="inlineStr">
        <is>
          <t>3 Bedroom</t>
        </is>
      </c>
      <c r="C13" s="43" t="n">
        <v>1400</v>
      </c>
      <c r="D13" s="44" t="n">
        <v>5200</v>
      </c>
      <c r="E13" t="inlineStr">
        <is>
          <t>Occupied</t>
        </is>
      </c>
    </row>
    <row r="14">
      <c r="A14" s="18" t="inlineStr">
        <is>
          <t>... (continue for all 250 units)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4" t="inlineStr">
        <is>
          <t>DEVELOPMENT BUDGET</t>
        </is>
      </c>
    </row>
    <row r="3">
      <c r="A3" s="34" t="inlineStr">
        <is>
          <t>USES OF FUNDS</t>
        </is>
      </c>
    </row>
    <row r="4">
      <c r="A4" s="5" t="inlineStr">
        <is>
          <t>Land / Site Acquisition</t>
        </is>
      </c>
      <c r="B4" s="30">
        <f>Inputs!B65</f>
        <v/>
      </c>
    </row>
    <row r="5">
      <c r="A5" s="5" t="inlineStr">
        <is>
          <t>Hard Costs</t>
        </is>
      </c>
      <c r="B5" s="30">
        <f>Inputs!B13*Inputs!B66</f>
        <v/>
      </c>
    </row>
    <row r="6">
      <c r="A6" s="5" t="inlineStr">
        <is>
          <t>Soft Costs</t>
        </is>
      </c>
      <c r="B6" s="30">
        <f>B5*Inputs!B67</f>
        <v/>
      </c>
    </row>
    <row r="7">
      <c r="A7" s="5" t="inlineStr">
        <is>
          <t>FF&amp;E</t>
        </is>
      </c>
      <c r="B7" s="30">
        <f>Inputs!B12*Inputs!B68</f>
        <v/>
      </c>
    </row>
    <row r="8">
      <c r="A8" s="5" t="inlineStr">
        <is>
          <t>Developer Fee</t>
        </is>
      </c>
      <c r="B8" s="30">
        <f>(B4+B5+B6+B7)*Inputs!B70</f>
        <v/>
      </c>
    </row>
    <row r="9">
      <c r="A9" s="5" t="inlineStr">
        <is>
          <t>Contingency</t>
        </is>
      </c>
      <c r="B9" s="30">
        <f>(B4+B5+B6+B7+B8)*Inputs!B71</f>
        <v/>
      </c>
    </row>
    <row r="10">
      <c r="A10" s="5" t="inlineStr">
        <is>
          <t>Closing Costs</t>
        </is>
      </c>
      <c r="B10" s="30">
        <f>Inputs!B65*Inputs!B73</f>
        <v/>
      </c>
    </row>
    <row r="12">
      <c r="A12" s="23" t="inlineStr">
        <is>
          <t>TOTAL DEVELOPMENT COST</t>
        </is>
      </c>
      <c r="B12" s="30">
        <f>SUM(B4:B10)</f>
        <v/>
      </c>
    </row>
    <row r="14">
      <c r="A14" t="inlineStr">
        <is>
          <t>Cost per Unit</t>
        </is>
      </c>
      <c r="B14" s="25">
        <f>B12/Inputs!B12</f>
        <v/>
      </c>
    </row>
    <row r="15">
      <c r="A15" t="inlineStr">
        <is>
          <t>Cost per SF</t>
        </is>
      </c>
      <c r="B15" s="25">
        <f>B12/Inputs!B13</f>
        <v/>
      </c>
    </row>
    <row r="17">
      <c r="A17" s="34" t="inlineStr">
        <is>
          <t>SOURCES OF FUNDS</t>
        </is>
      </c>
    </row>
    <row r="18">
      <c r="A18" s="5" t="inlineStr">
        <is>
          <t>Senior Debt (65% LTC)</t>
        </is>
      </c>
      <c r="B18" s="30">
        <f>B12*Inputs!B75</f>
        <v/>
      </c>
    </row>
    <row r="19">
      <c r="A19" s="5" t="inlineStr">
        <is>
          <t>Loan Fees</t>
        </is>
      </c>
      <c r="B19" s="35">
        <f>-B19*Inputs!B80</f>
        <v/>
      </c>
    </row>
    <row r="20">
      <c r="A20" s="5" t="inlineStr">
        <is>
          <t>Net Loan Proceeds</t>
        </is>
      </c>
      <c r="B20" s="30">
        <f>B19+B20</f>
        <v/>
      </c>
    </row>
    <row r="22">
      <c r="A22" s="23" t="inlineStr">
        <is>
          <t>Equity Required</t>
        </is>
      </c>
      <c r="B22" s="30">
        <f>B12-B21</f>
        <v/>
      </c>
    </row>
  </sheetData>
  <mergeCells count="3">
    <mergeCell ref="A1:C1"/>
    <mergeCell ref="A3:C3"/>
    <mergeCell ref="A17:C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EXIT STRATEGY COMPARISON</t>
        </is>
      </c>
    </row>
    <row r="2">
      <c r="A2" s="27" t="inlineStr">
        <is>
          <t>Compare 3 exit strategies: Sell All, Rent All, or Hybrid (50% Condo Conversion)</t>
        </is>
      </c>
    </row>
    <row r="4">
      <c r="A4" s="28" t="inlineStr">
        <is>
          <t>EXIT STRATEGY</t>
        </is>
      </c>
      <c r="B4" s="28" t="inlineStr">
        <is>
          <t>Scenario 1: SELL ALL</t>
        </is>
      </c>
      <c r="C4" s="28" t="inlineStr">
        <is>
          <t>Scenario 2: RENT ALL</t>
        </is>
      </c>
      <c r="D4" s="28" t="inlineStr">
        <is>
          <t>Scenario 3: HYBRID</t>
        </is>
      </c>
    </row>
    <row r="5">
      <c r="A5" t="inlineStr">
        <is>
          <t>Strategy Description</t>
        </is>
      </c>
      <c r="B5" s="33" t="inlineStr">
        <is>
          <t>Stabilize &amp; sell entire property</t>
        </is>
      </c>
      <c r="C5" s="33" t="inlineStr">
        <is>
          <t>Hold &amp; operate long-term</t>
        </is>
      </c>
      <c r="D5" s="33" t="inlineStr">
        <is>
          <t>50% condos, 50% rental</t>
        </is>
      </c>
    </row>
    <row r="7">
      <c r="A7" s="34" t="inlineStr">
        <is>
          <t>STRATEGY ASSUMPTIONS</t>
        </is>
      </c>
    </row>
    <row r="8">
      <c r="A8" s="5" t="inlineStr">
        <is>
          <t>Exit Year</t>
        </is>
      </c>
      <c r="B8" s="45" t="inlineStr">
        <is>
          <t>7</t>
        </is>
      </c>
      <c r="C8" s="45" t="inlineStr">
        <is>
          <t>10</t>
        </is>
      </c>
      <c r="D8" s="45" t="inlineStr">
        <is>
          <t>7</t>
        </is>
      </c>
    </row>
    <row r="9">
      <c r="A9" s="5" t="inlineStr">
        <is>
          <t>% Sold as Condos</t>
        </is>
      </c>
      <c r="B9" s="46" t="inlineStr">
        <is>
          <t>100%</t>
        </is>
      </c>
      <c r="C9" s="46" t="inlineStr">
        <is>
          <t>0%</t>
        </is>
      </c>
      <c r="D9" s="46" t="inlineStr">
        <is>
          <t>50%</t>
        </is>
      </c>
    </row>
    <row r="10">
      <c r="A10" s="5" t="inlineStr">
        <is>
          <t>Exit Cap Rate</t>
        </is>
      </c>
      <c r="B10" s="46" t="inlineStr">
        <is>
          <t>5.0%</t>
        </is>
      </c>
      <c r="C10" s="46" t="inlineStr">
        <is>
          <t>4.8%</t>
        </is>
      </c>
      <c r="D10" s="46" t="inlineStr">
        <is>
          <t>5.0%</t>
        </is>
      </c>
    </row>
    <row r="11">
      <c r="A11" s="5" t="inlineStr">
        <is>
          <t>Condo Price Premium</t>
        </is>
      </c>
      <c r="B11" s="46" t="inlineStr">
        <is>
          <t>25%</t>
        </is>
      </c>
      <c r="C11" s="46" t="inlineStr">
        <is>
          <t>N/A</t>
        </is>
      </c>
      <c r="D11" s="46" t="inlineStr">
        <is>
          <t>25%</t>
        </is>
      </c>
    </row>
    <row r="12">
      <c r="A12" s="5" t="inlineStr">
        <is>
          <t>Conversion Cost per Unit</t>
        </is>
      </c>
      <c r="B12" s="45" t="inlineStr">
        <is>
          <t>$15,000</t>
        </is>
      </c>
      <c r="C12" s="45" t="inlineStr">
        <is>
          <t>$0</t>
        </is>
      </c>
      <c r="D12" s="45" t="inlineStr">
        <is>
          <t>$15,000</t>
        </is>
      </c>
    </row>
    <row r="14">
      <c r="A14" s="34" t="inlineStr">
        <is>
          <t>FINANCIAL OUTCOMES</t>
        </is>
      </c>
    </row>
    <row r="15">
      <c r="A15" s="5" t="inlineStr">
        <is>
          <t>Stabilized NOI (Exit Year)</t>
        </is>
      </c>
      <c r="B15" s="30">
        <f>'Pro Forma'!I20</f>
        <v/>
      </c>
      <c r="C15" s="30">
        <f>'Pro Forma'!J20</f>
        <v/>
      </c>
      <c r="D15" s="30">
        <f>'Pro Forma'!I20*0.5</f>
        <v/>
      </c>
    </row>
    <row r="16">
      <c r="A16" s="5" t="inlineStr">
        <is>
          <t>Property Value (NOI / Cap)</t>
        </is>
      </c>
      <c r="B16" s="30">
        <f>B15/0.05</f>
        <v/>
      </c>
      <c r="C16" s="30">
        <f>B15/0.048</f>
        <v/>
      </c>
      <c r="D16" s="30">
        <f>B15/0.05</f>
        <v/>
      </c>
    </row>
    <row r="18">
      <c r="A18" s="5" t="inlineStr">
        <is>
          <t>Condo Sales Revenue</t>
        </is>
      </c>
      <c r="B18" s="30">
        <f>B16*1.25</f>
        <v/>
      </c>
      <c r="C18" s="30" t="inlineStr">
        <is>
          <t>0</t>
        </is>
      </c>
      <c r="D18" s="30">
        <f>(B16/2)*1.25</f>
        <v/>
      </c>
    </row>
    <row r="19">
      <c r="A19" s="5" t="inlineStr">
        <is>
          <t>Rental Property Value</t>
        </is>
      </c>
      <c r="B19" s="30" t="inlineStr">
        <is>
          <t>0</t>
        </is>
      </c>
      <c r="C19" s="30">
        <f>B16</f>
        <v/>
      </c>
      <c r="D19" s="30">
        <f>B16/2</f>
        <v/>
      </c>
    </row>
    <row r="20">
      <c r="A20" s="5" t="inlineStr">
        <is>
          <t>Gross Proceeds</t>
        </is>
      </c>
      <c r="B20" s="30">
        <f>B18+B19</f>
        <v/>
      </c>
      <c r="C20" s="30">
        <f>B19</f>
        <v/>
      </c>
      <c r="D20" s="30">
        <f>B18+B19</f>
        <v/>
      </c>
    </row>
    <row r="22">
      <c r="A22" s="5" t="inlineStr">
        <is>
          <t>Less: Loan Payoff</t>
        </is>
      </c>
      <c r="B22" s="35">
        <f>-'Cash Flow'!B6*0.75</f>
        <v/>
      </c>
      <c r="C22" s="35">
        <f>-'Cash Flow'!B6*0.50</f>
        <v/>
      </c>
      <c r="D22" s="35">
        <f>-'Cash Flow'!B6*0.65</f>
        <v/>
      </c>
    </row>
    <row r="23">
      <c r="A23" s="5" t="inlineStr">
        <is>
          <t>Less: Selling Costs</t>
        </is>
      </c>
      <c r="B23" s="35">
        <f>-B20*0.025</f>
        <v/>
      </c>
      <c r="C23" s="35">
        <f>-B20*0.01</f>
        <v/>
      </c>
      <c r="D23" s="35">
        <f>-B20*0.02</f>
        <v/>
      </c>
    </row>
    <row r="24">
      <c r="A24" s="5" t="inlineStr">
        <is>
          <t>Less: Conversion Costs</t>
        </is>
      </c>
      <c r="B24" s="35">
        <f>-Inputs!B12*Inputs!B98</f>
        <v/>
      </c>
      <c r="C24" s="35" t="inlineStr">
        <is>
          <t>0</t>
        </is>
      </c>
      <c r="D24" s="35">
        <f>-(Inputs!B12/2)*Inputs!B98</f>
        <v/>
      </c>
    </row>
    <row r="26">
      <c r="A26" s="5" t="inlineStr">
        <is>
          <t>Net Proceeds</t>
        </is>
      </c>
      <c r="B26" s="30">
        <f>B20+B22+B23+B24</f>
        <v/>
      </c>
      <c r="C26" s="30">
        <f>B20+B22+B23+B24</f>
        <v/>
      </c>
      <c r="D26" s="30">
        <f>B20+B22+B23+B24</f>
        <v/>
      </c>
    </row>
    <row r="28">
      <c r="A28" s="23" t="inlineStr">
        <is>
          <t>Total Equity Invested</t>
        </is>
      </c>
      <c r="B28" s="30">
        <f>-'Cash Flow'!B7</f>
        <v/>
      </c>
      <c r="C28" s="30">
        <f>-'Cash Flow'!B7</f>
        <v/>
      </c>
      <c r="D28" s="30">
        <f>-'Cash Flow'!B7</f>
        <v/>
      </c>
    </row>
    <row r="29">
      <c r="A29" s="23" t="inlineStr">
        <is>
          <t>Total Profit</t>
        </is>
      </c>
      <c r="B29" s="30">
        <f>B26+B28</f>
        <v/>
      </c>
      <c r="C29" s="30">
        <f>B26+B28</f>
        <v/>
      </c>
      <c r="D29" s="30">
        <f>B26+B28</f>
        <v/>
      </c>
    </row>
    <row r="30">
      <c r="A30" s="23" t="inlineStr">
        <is>
          <t>ROI</t>
        </is>
      </c>
      <c r="B30" s="38">
        <f>B29/B28</f>
        <v/>
      </c>
      <c r="C30" s="38">
        <f>B29/B28</f>
        <v/>
      </c>
      <c r="D30" s="38">
        <f>B29/B28</f>
        <v/>
      </c>
    </row>
    <row r="33">
      <c r="A33" s="34" t="inlineStr">
        <is>
          <t>STRATEGY RECOMMENDATIONS</t>
        </is>
      </c>
    </row>
    <row r="34">
      <c r="A34" s="47" t="inlineStr">
        <is>
          <t>SCENARIO 1: SELL ALL</t>
        </is>
      </c>
      <c r="B34" s="33" t="inlineStr">
        <is>
          <t>Best when: Strong for-sale market, need liquidity, maximize short-term returns. Exit in 5-7 years.</t>
        </is>
      </c>
    </row>
    <row r="35">
      <c r="A35" s="47" t="inlineStr">
        <is>
          <t>SCENARIO 2: RENT ALL</t>
        </is>
      </c>
      <c r="B35" s="33" t="inlineStr">
        <is>
          <t>Best when: Strong rental demand, weak for-sale market, long-term income focus, tax advantages.</t>
        </is>
      </c>
    </row>
    <row r="36">
      <c r="A36" s="47" t="inlineStr">
        <is>
          <t>SCENARIO 3: HYBRID</t>
        </is>
      </c>
      <c r="B36" s="33" t="inlineStr">
        <is>
          <t>Best when: Hedge both markets, realize some gains while maintaining income stream. Balanced risk.</t>
        </is>
      </c>
    </row>
  </sheetData>
  <mergeCells count="8">
    <mergeCell ref="A1:D1"/>
    <mergeCell ref="B36:D36"/>
    <mergeCell ref="B34:D34"/>
    <mergeCell ref="B35:D35"/>
    <mergeCell ref="A7:D7"/>
    <mergeCell ref="A33:D33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2025-11-02T19:49:39Z</dcterms:created>
  <dcterms:modified xmlns:dcterms="http://purl.org/dc/terms/" xmlns:xsi="http://www.w3.org/2001/XMLSchema-instance" xsi:type="dcterms:W3CDTF">2025-11-02T19:54:08Z</dcterms:modified>
</cp:coreProperties>
</file>