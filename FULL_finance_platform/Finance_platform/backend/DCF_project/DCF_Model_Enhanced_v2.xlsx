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TradingComps" sheetId="5" state="visible" r:id="rId5"/>
    <sheet xmlns:r="http://schemas.openxmlformats.org/officeDocument/2006/relationships" name="PrecedentTxns" sheetId="6" state="visible" r:id="rId6"/>
    <sheet xmlns:r="http://schemas.openxmlformats.org/officeDocument/2006/relationships" name="CreditAnalysis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Historic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"/>
    <numFmt numFmtId="165" formatCode="0.0%"/>
    <numFmt numFmtId="166" formatCode="$#,##0"/>
    <numFmt numFmtId="167" formatCode="0.0x"/>
    <numFmt numFmtId="168" formatCode="#,##0.0"/>
    <numFmt numFmtId="169" formatCode="($#,##0)"/>
    <numFmt numFmtId="170" formatCode="0.0"/>
    <numFmt numFmtId="171" formatCode="0.000"/>
  </numFmts>
  <fonts count="20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sz val="14"/>
    </font>
    <font>
      <name val="Calibri"/>
      <i val="1"/>
      <sz val="9"/>
    </font>
    <font>
      <name val="Calibri"/>
      <b val="1"/>
      <color rgb="00FFFFFF"/>
      <sz val="11"/>
    </font>
    <font>
      <name val="Calibri"/>
      <color rgb="00008000"/>
      <sz val="10"/>
    </font>
    <font>
      <name val="Calibri"/>
      <color rgb="00000000"/>
      <sz val="10"/>
    </font>
    <font>
      <b val="1"/>
    </font>
    <font>
      <name val="Calibri"/>
      <b val="1"/>
      <color rgb="002F5496"/>
      <sz val="14"/>
    </font>
    <font>
      <name val="Calibri"/>
      <color rgb="000000FF"/>
      <sz val="10"/>
    </font>
    <font>
      <b val="1"/>
      <sz val="12"/>
    </font>
    <font>
      <b val="1"/>
      <sz val="11"/>
    </font>
    <font>
      <color rgb="00008000"/>
    </font>
    <font>
      <b val="1"/>
      <color rgb="00FFFFFF"/>
    </font>
    <font>
      <name val="Calibri"/>
      <b val="1"/>
      <sz val="12"/>
    </font>
    <font>
      <color rgb="000000FF"/>
    </font>
    <font>
      <color rgb="00000000"/>
    </font>
    <font>
      <name val="Calibri"/>
      <sz val="10"/>
    </font>
    <font>
      <name val="Calibri"/>
      <i val="1"/>
      <color rgb="00666666"/>
      <sz val="10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</border>
    <border>
      <top style="thin"/>
      <bottom style="double"/>
    </border>
    <border>
      <bottom style="double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165" fontId="9" fillId="3" borderId="0" pivotButton="0" quotePrefix="0" xfId="0"/>
    <xf numFmtId="167" fontId="9" fillId="3" borderId="0" pivotButton="0" quotePrefix="0" xfId="0"/>
    <xf numFmtId="164" fontId="9" fillId="3" borderId="0" pivotButton="0" quotePrefix="0" xfId="0"/>
    <xf numFmtId="166" fontId="9" fillId="3" borderId="0" pivotButton="0" quotePrefix="0" xfId="0"/>
    <xf numFmtId="166" fontId="6" fillId="0" borderId="0" pivotButton="0" quotePrefix="0" xfId="0"/>
    <xf numFmtId="166" fontId="7" fillId="0" borderId="2" pivotButton="0" quotePrefix="0" xfId="0"/>
    <xf numFmtId="164" fontId="10" fillId="4" borderId="0" pivotButton="0" quotePrefix="0" xfId="0"/>
    <xf numFmtId="165" fontId="11" fillId="0" borderId="0" pivotButton="0" quotePrefix="0" xfId="0"/>
    <xf numFmtId="165" fontId="12" fillId="0" borderId="0" pivotButton="0" quotePrefix="0" xfId="0"/>
    <xf numFmtId="168" fontId="9" fillId="3" borderId="0" pivotButton="0" quotePrefix="0" xfId="0"/>
    <xf numFmtId="0" fontId="7" fillId="0" borderId="1" applyAlignment="1" pivotButton="0" quotePrefix="0" xfId="0">
      <alignment horizontal="center"/>
    </xf>
    <xf numFmtId="169" fontId="6" fillId="0" borderId="0" pivotButton="0" quotePrefix="0" xfId="0"/>
    <xf numFmtId="166" fontId="7" fillId="0" borderId="3" pivotButton="0" quotePrefix="0" xfId="0"/>
    <xf numFmtId="170" fontId="6" fillId="0" borderId="0" pivotButton="0" quotePrefix="0" xfId="0"/>
    <xf numFmtId="171" fontId="6" fillId="0" borderId="0" pivotButton="0" quotePrefix="0" xfId="0"/>
    <xf numFmtId="166" fontId="7" fillId="0" borderId="0" pivotButton="0" quotePrefix="0" xfId="0"/>
    <xf numFmtId="166" fontId="7" fillId="0" borderId="4" pivotButton="0" quotePrefix="0" xfId="0"/>
    <xf numFmtId="0" fontId="7" fillId="0" borderId="0" pivotButton="0" quotePrefix="0" xfId="0"/>
    <xf numFmtId="165" fontId="7" fillId="5" borderId="0" pivotButton="0" quotePrefix="0" xfId="0"/>
    <xf numFmtId="164" fontId="7" fillId="3" borderId="0" pivotButton="0" quotePrefix="0" xfId="0"/>
    <xf numFmtId="167" fontId="7" fillId="5" borderId="0" pivotButton="0" quotePrefix="0" xfId="0"/>
    <xf numFmtId="0" fontId="13" fillId="2" borderId="0" applyAlignment="1" pivotButton="0" quotePrefix="0" xfId="0">
      <alignment horizontal="center"/>
    </xf>
    <xf numFmtId="167" fontId="6" fillId="0" borderId="0" pivotButton="0" quotePrefix="0" xfId="0"/>
    <xf numFmtId="0" fontId="13" fillId="2" borderId="0" pivotButton="0" quotePrefix="0" xfId="0"/>
    <xf numFmtId="166" fontId="12" fillId="0" borderId="0" pivotButton="0" quotePrefix="0" xfId="0"/>
    <xf numFmtId="166" fontId="11" fillId="4" borderId="0" pivotButton="0" quotePrefix="0" xfId="0"/>
    <xf numFmtId="164" fontId="10" fillId="3" borderId="0" pivotButton="0" quotePrefix="0" xfId="0"/>
    <xf numFmtId="0" fontId="7" fillId="2" borderId="0" pivotButton="0" quotePrefix="0" xfId="0"/>
    <xf numFmtId="164" fontId="7" fillId="0" borderId="0" pivotButton="0" quotePrefix="0" xfId="0"/>
    <xf numFmtId="169" fontId="9" fillId="3" borderId="0" pivotButton="0" quotePrefix="0" xfId="0"/>
    <xf numFmtId="0" fontId="14" fillId="0" borderId="0" pivotButton="0" quotePrefix="0" xfId="0"/>
    <xf numFmtId="0" fontId="15" fillId="3" borderId="0" pivotButton="0" quotePrefix="0" xfId="0"/>
    <xf numFmtId="0" fontId="16" fillId="0" borderId="0" pivotButton="0" quotePrefix="0" xfId="0"/>
    <xf numFmtId="0" fontId="12" fillId="0" borderId="0" pivotButton="0" quotePrefix="0" xfId="0"/>
    <xf numFmtId="0" fontId="17" fillId="0" borderId="0" applyAlignment="1" pivotButton="0" quotePrefix="0" xfId="0">
      <alignment wrapText="1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ENHANCED DCF MODEL - INSTRUCTIONS</t>
        </is>
      </c>
    </row>
    <row r="4">
      <c r="B4" s="46" t="inlineStr">
        <is>
          <t>Welcome to Your Comprehensive DCF Valuation Model!</t>
        </is>
      </c>
    </row>
    <row r="6">
      <c r="B6" s="4" t="inlineStr">
        <is>
          <t>COLOR CODING SYSTEM (Follow This Throughout)</t>
        </is>
      </c>
    </row>
    <row r="7">
      <c r="B7" s="47" t="inlineStr">
        <is>
          <t>🔵 BLUE TEXT + YELLOW FILL = INPUT CELLS (Enter your data here)</t>
        </is>
      </c>
    </row>
    <row r="8">
      <c r="B8" s="48" t="inlineStr">
        <is>
          <t>⚫ BLACK TEXT = FORMULAS (Automatically calculated - do not edit)</t>
        </is>
      </c>
    </row>
    <row r="9">
      <c r="B9" s="49" t="inlineStr">
        <is>
          <t>🟢 GREEN TEXT = LINKS (References to other worksheets)</t>
        </is>
      </c>
    </row>
    <row r="12">
      <c r="B12" s="4" t="inlineStr">
        <is>
          <t>QUICK START GUIDE (15 Minutes to First Valuation)</t>
        </is>
      </c>
    </row>
    <row r="13">
      <c r="B13" s="50" t="inlineStr">
        <is>
          <t>1. DCF Sheet → Fill company info (cells D8-D11) including name, ticker, stock price, and year end</t>
        </is>
      </c>
    </row>
    <row r="14">
      <c r="B14" s="50" t="inlineStr">
        <is>
          <t>2. DCF Sheet → Enter balance sheet items (cells D19-D22) for cash, debt, preferred stock, minority interest</t>
        </is>
      </c>
    </row>
    <row r="15">
      <c r="B15" s="50" t="inlineStr">
        <is>
          <t>3. WACC Sheet → Enter cost of capital inputs (cells F6-F9, F15) including risk-free rate, ERP, beta, cost of debt</t>
        </is>
      </c>
    </row>
    <row r="16">
      <c r="B16" s="50" t="inlineStr">
        <is>
          <t>4. DCF Sheet → Adjust revenue growth rates and EBITDA margins (rows 61-68) for 5-year projections</t>
        </is>
      </c>
    </row>
    <row r="17">
      <c r="B17" s="50" t="inlineStr">
        <is>
          <t>5. DCF Sheet → Set terminal value method and rate (cells G7-G9) - choose Growth or Multiple method</t>
        </is>
      </c>
    </row>
    <row r="18">
      <c r="B18" s="50" t="inlineStr">
        <is>
          <t>6. Executive Summary → Review your valuation output and recommendation!</t>
        </is>
      </c>
    </row>
    <row r="21">
      <c r="B21" s="4" t="inlineStr">
        <is>
          <t>MODEL FEATURES (9 Integrated Worksheets)</t>
        </is>
      </c>
    </row>
    <row r="22">
      <c r="B22" s="51" t="inlineStr">
        <is>
          <t>✅ Executive Summary - Dashboard with all key outputs and investment recommendation</t>
        </is>
      </c>
    </row>
    <row r="23">
      <c r="B23" s="51" t="inlineStr">
        <is>
          <t>✅ DCF - 5-year cash flow projections with dual terminal value methods</t>
        </is>
      </c>
    </row>
    <row r="24">
      <c r="B24" s="51" t="inlineStr">
        <is>
          <t>✅ WACC - Weighted average cost of capital with CAPM calculation</t>
        </is>
      </c>
    </row>
    <row r="25">
      <c r="B25" s="51" t="inlineStr">
        <is>
          <t>✅ Sensitivity - 3 automated sensitivity tables (WACC/Growth, WACC/Multiple, Revenue/Margin)</t>
        </is>
      </c>
    </row>
    <row r="26">
      <c r="B26" s="51" t="inlineStr">
        <is>
          <t>✅ Trading Comps - Comparable company analysis with automatic valuation</t>
        </is>
      </c>
    </row>
    <row r="27">
      <c r="B27" s="51" t="inlineStr">
        <is>
          <t>✅ Precedent Transactions - M&amp;A transaction analysis</t>
        </is>
      </c>
    </row>
    <row r="28">
      <c r="B28" s="51" t="inlineStr">
        <is>
          <t>✅ Credit Analysis - Leverage and coverage ratios with implied rating</t>
        </is>
      </c>
    </row>
    <row r="29">
      <c r="B29" s="51" t="inlineStr">
        <is>
          <t>✅ Scenario Analysis - Bull/Base/Bear cases with probability weighting</t>
        </is>
      </c>
    </row>
    <row r="30">
      <c r="B30" s="51" t="inlineStr">
        <is>
          <t>✅ Historical Financials - 5-year historical financial statements</t>
        </is>
      </c>
    </row>
    <row r="33">
      <c r="B33" s="4" t="inlineStr">
        <is>
          <t>BEST PRACTICES</t>
        </is>
      </c>
    </row>
    <row r="34">
      <c r="B34" s="50" t="inlineStr">
        <is>
          <t>1. Start Conservative: Use conservative assumptions initially, you can always adjust</t>
        </is>
      </c>
    </row>
    <row r="35">
      <c r="B35" s="50" t="inlineStr">
        <is>
          <t>2. Validate with History: Compare your projections to historical performance (Historicals sheet)</t>
        </is>
      </c>
    </row>
    <row r="36">
      <c r="B36" s="50" t="inlineStr">
        <is>
          <t>3. Multiple Methods: Use DCF + Trading Comps + Precedent Transactions for triangulation</t>
        </is>
      </c>
    </row>
    <row r="37">
      <c r="B37" s="50" t="inlineStr">
        <is>
          <t>4. Sensitivity Testing: Review sensitivity tables to understand what drives value</t>
        </is>
      </c>
    </row>
    <row r="38">
      <c r="B38" s="50" t="inlineStr">
        <is>
          <t>5. Check Terminal Value: 60-80% of DCF value typically comes from terminal value - validate carefully</t>
        </is>
      </c>
    </row>
    <row r="39">
      <c r="B39" s="50" t="inlineStr">
        <is>
          <t>6. WACC Accuracy: A 1% change in WACC can change valuation by 15-20%</t>
        </is>
      </c>
    </row>
    <row r="40">
      <c r="B40" s="50" t="inlineStr">
        <is>
          <t>7. Scenario Analysis: Run Bull/Base/Bear cases, don't rely on a single point estimate</t>
        </is>
      </c>
    </row>
    <row r="43">
      <c r="B43" s="4" t="inlineStr">
        <is>
          <t>RECOMMENDED WORKFLOWS BY USE CASE</t>
        </is>
      </c>
    </row>
    <row r="44">
      <c r="B44" s="50" t="inlineStr">
        <is>
          <t>For Equity Research: Focus on DCF + Trading Comps + Scenarios → Price target with upside/downside</t>
        </is>
      </c>
    </row>
    <row r="45">
      <c r="B45" s="50" t="inlineStr">
        <is>
          <t>For Private Equity: Use all sheets, especially Credit Analysis and Scenario Analysis</t>
        </is>
      </c>
    </row>
    <row r="46">
      <c r="B46" s="50" t="inlineStr">
        <is>
          <t>For M&amp;A Advisory: Emphasize DCF + Precedent Transactions + Sensitivity Analysis</t>
        </is>
      </c>
    </row>
    <row r="47">
      <c r="B47" s="50" t="inlineStr">
        <is>
          <t>For Credit Analysis: Focus on Credit Analysis, Historical Financials, and debt ratios</t>
        </is>
      </c>
    </row>
    <row r="48">
      <c r="B48" s="50" t="inlineStr">
        <is>
          <t>For Quick Screening: Just fill DCF and WACC sheets → Check Executive Summary</t>
        </is>
      </c>
    </row>
    <row r="51">
      <c r="B51" s="4" t="inlineStr">
        <is>
          <t>TROUBLESHOOTING</t>
        </is>
      </c>
    </row>
    <row r="52">
      <c r="B52" s="50" t="inlineStr">
        <is>
          <t>Issue: Valuation seems too high/low → Check shares outstanding, debt/cash balances, WACC calculation</t>
        </is>
      </c>
    </row>
    <row r="53">
      <c r="B53" s="50" t="inlineStr">
        <is>
          <t>Issue: #DIV/0! errors → Check for zero values in revenue, shares outstanding, or EBITDA</t>
        </is>
      </c>
    </row>
    <row r="54">
      <c r="B54" s="50" t="inlineStr">
        <is>
          <t>Issue: Formulas not calculating → Press F9 to recalculate, or ensure calculation is set to Automatic</t>
        </is>
      </c>
    </row>
    <row r="55">
      <c r="B55" s="50" t="inlineStr">
        <is>
          <t>Issue: Need to reset → Keep a backup of the original template before filling in data</t>
        </is>
      </c>
    </row>
    <row r="58">
      <c r="B58" s="52" t="inlineStr">
        <is>
          <t>✨ This model was created with institutional-grade standards and best practices</t>
        </is>
      </c>
    </row>
    <row r="59">
      <c r="B59" s="53" t="inlineStr">
        <is>
          <t>Version 1.0 Enhanced - Comprehensive DCF Valuation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</cols>
  <sheetData>
    <row r="2">
      <c r="B2" s="1" t="inlineStr">
        <is>
          <t>EXECUTIVE SUMMARY</t>
        </is>
      </c>
    </row>
    <row r="3">
      <c r="B3" s="2">
        <f>DCF!D8</f>
        <v/>
      </c>
    </row>
    <row r="4">
      <c r="B4" s="3" t="inlineStr">
        <is>
          <t>As of: November 01, 2025</t>
        </is>
      </c>
    </row>
    <row r="6">
      <c r="B6" s="4" t="inlineStr">
        <is>
          <t>KEY VALUATION METRICS</t>
        </is>
      </c>
    </row>
    <row r="7">
      <c r="B7" t="inlineStr">
        <is>
          <t>Current Share Price</t>
        </is>
      </c>
      <c r="C7" s="5">
        <f>DCF!D10</f>
        <v/>
      </c>
    </row>
    <row r="8">
      <c r="B8" t="inlineStr">
        <is>
          <t>DCF Implied Price</t>
        </is>
      </c>
      <c r="C8" s="6">
        <f>DCF!D32</f>
        <v/>
      </c>
    </row>
    <row r="9">
      <c r="B9" t="inlineStr">
        <is>
          <t>Upside / (Downside)</t>
        </is>
      </c>
      <c r="C9" s="7">
        <f>C8/C7-1</f>
        <v/>
      </c>
    </row>
    <row r="10">
      <c r="B10" t="inlineStr">
        <is>
          <t>Recommendation</t>
        </is>
      </c>
      <c r="C10" s="8">
        <f>IF(C9&gt;0.15,"STRONG BUY",IF(C9&gt;0.05,"BUY",IF(C9&gt;-0.05,"HOLD",IF(C9&gt;-0.15,"SELL","STRONG SELL"))))</f>
        <v/>
      </c>
    </row>
    <row r="12">
      <c r="B12" s="4" t="inlineStr">
        <is>
          <t>VALUATION SUMMARY</t>
        </is>
      </c>
    </row>
    <row r="13">
      <c r="B13" s="9" t="inlineStr">
        <is>
          <t>Method</t>
        </is>
      </c>
      <c r="C13" s="9" t="inlineStr">
        <is>
          <t>Equity Value ($mm)</t>
        </is>
      </c>
      <c r="D13" s="9" t="inlineStr">
        <is>
          <t>Price per Share</t>
        </is>
      </c>
    </row>
    <row r="14">
      <c r="B14" t="inlineStr">
        <is>
          <t>DCF Analysis</t>
        </is>
      </c>
      <c r="C14" s="10">
        <f>DCF!D29</f>
        <v/>
      </c>
      <c r="D14" s="11">
        <f>DCF!D32</f>
        <v/>
      </c>
    </row>
    <row r="15">
      <c r="B15" t="inlineStr">
        <is>
          <t>Trading Comps (Median)</t>
        </is>
      </c>
      <c r="C15" s="10">
        <f>TradingComps!C28</f>
        <v/>
      </c>
      <c r="D15" s="11">
        <f>C16/DCF!D48</f>
        <v/>
      </c>
    </row>
    <row r="16">
      <c r="B16" t="inlineStr">
        <is>
          <t>Precedent Transactions (Median)</t>
        </is>
      </c>
      <c r="C16" s="10">
        <f>PrecedentTxns!C28</f>
        <v/>
      </c>
      <c r="D16" s="11">
        <f>C17/DCF!D48</f>
        <v/>
      </c>
    </row>
    <row r="18">
      <c r="B18" s="4" t="inlineStr">
        <is>
          <t>KEY FINANCIAL METRICS</t>
        </is>
      </c>
    </row>
    <row r="19">
      <c r="B19" s="9" t="inlineStr">
        <is>
          <t>Metric</t>
        </is>
      </c>
      <c r="C19" s="9" t="inlineStr">
        <is>
          <t>LTM</t>
        </is>
      </c>
      <c r="D19" s="9" t="inlineStr">
        <is>
          <t>Year 5</t>
        </is>
      </c>
    </row>
    <row r="20">
      <c r="B20" t="inlineStr">
        <is>
          <t>Revenue ($mm)</t>
        </is>
      </c>
      <c r="C20" s="10">
        <f>DCF!D63</f>
        <v/>
      </c>
      <c r="D20" s="10">
        <f>DCF!I63</f>
        <v/>
      </c>
    </row>
    <row r="21">
      <c r="B21" t="inlineStr">
        <is>
          <t>EBITDA ($mm)</t>
        </is>
      </c>
      <c r="C21" s="10">
        <f>DCF!D67</f>
        <v/>
      </c>
      <c r="D21" s="10">
        <f>DCF!I67</f>
        <v/>
      </c>
    </row>
    <row r="22">
      <c r="B22" t="inlineStr">
        <is>
          <t>EBITDA Margin</t>
        </is>
      </c>
      <c r="C22" s="12">
        <f>DCF!D68</f>
        <v/>
      </c>
      <c r="D22" s="12">
        <f>DCF!I68</f>
        <v/>
      </c>
    </row>
    <row r="23">
      <c r="B23" t="inlineStr">
        <is>
          <t>Free Cash Flow ($mm)</t>
        </is>
      </c>
      <c r="C23" s="10">
        <f>DCF!D95</f>
        <v/>
      </c>
      <c r="D23" s="10">
        <f>DCF!I95</f>
        <v/>
      </c>
    </row>
    <row r="25">
      <c r="B25" s="4" t="inlineStr">
        <is>
          <t>CREDIT METRICS</t>
        </is>
      </c>
    </row>
    <row r="26">
      <c r="B26" t="inlineStr">
        <is>
          <t>Net Debt / EBITDA</t>
        </is>
      </c>
      <c r="C26" s="13">
        <f>CreditAnalysis!D10</f>
        <v/>
      </c>
    </row>
    <row r="27">
      <c r="B27" t="inlineStr">
        <is>
          <t>EBITDA / Interest</t>
        </is>
      </c>
      <c r="C27" s="13">
        <f>CreditAnalysis!D13</f>
        <v/>
      </c>
    </row>
  </sheetData>
  <mergeCells count="7">
    <mergeCell ref="B3:D3"/>
    <mergeCell ref="B4:D4"/>
    <mergeCell ref="B18:D18"/>
    <mergeCell ref="B12:D12"/>
    <mergeCell ref="B25:D25"/>
    <mergeCell ref="B6:D6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I87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C2" s="14" t="inlineStr">
        <is>
          <t>DISCOUNTED CASH FLOW ANALYSIS</t>
        </is>
      </c>
    </row>
    <row r="3">
      <c r="C3" s="3" t="inlineStr">
        <is>
          <t>($ in Millions Except Per Share Data)</t>
        </is>
      </c>
    </row>
    <row r="6">
      <c r="C6" s="4" t="inlineStr">
        <is>
          <t>COMPANY INFORMATION</t>
        </is>
      </c>
      <c r="F6" s="4" t="inlineStr">
        <is>
          <t>TERMINAL VALUE ASSUMPTIONS</t>
        </is>
      </c>
    </row>
    <row r="7">
      <c r="C7" t="inlineStr">
        <is>
          <t>Company Name:</t>
        </is>
      </c>
      <c r="D7" s="15" t="inlineStr">
        <is>
          <t>Example Corp</t>
        </is>
      </c>
      <c r="F7" t="inlineStr">
        <is>
          <t>Terminal Growth Rate:</t>
        </is>
      </c>
      <c r="G7" s="16" t="n">
        <v>0.025</v>
      </c>
    </row>
    <row r="8">
      <c r="C8" t="inlineStr">
        <is>
          <t>Ticker Symbol:</t>
        </is>
      </c>
      <c r="D8" s="15" t="inlineStr">
        <is>
          <t>EXMP</t>
        </is>
      </c>
      <c r="F8" t="inlineStr">
        <is>
          <t>Terminal EBITDA Multiple:</t>
        </is>
      </c>
      <c r="G8" s="17" t="n">
        <v>10</v>
      </c>
    </row>
    <row r="9">
      <c r="C9" t="inlineStr">
        <is>
          <t>Current Share Price:</t>
        </is>
      </c>
      <c r="D9" s="18" t="n">
        <v>100</v>
      </c>
      <c r="F9" t="inlineStr">
        <is>
          <t>Terminal Value Method:</t>
        </is>
      </c>
      <c r="G9" s="15" t="inlineStr">
        <is>
          <t>Growth</t>
        </is>
      </c>
    </row>
    <row r="10">
      <c r="C10" t="inlineStr">
        <is>
          <t>Fiscal Year End:</t>
        </is>
      </c>
      <c r="D10" s="15" t="inlineStr">
        <is>
          <t>12/31/2024</t>
        </is>
      </c>
    </row>
    <row r="11">
      <c r="C11" t="inlineStr">
        <is>
          <t>Effective Tax Rate:</t>
        </is>
      </c>
      <c r="D11" s="16" t="n">
        <v>0.25</v>
      </c>
    </row>
    <row r="13">
      <c r="C13" s="4" t="inlineStr">
        <is>
          <t>BALANCE SHEET ITEMS</t>
        </is>
      </c>
    </row>
    <row r="14">
      <c r="C14" t="inlineStr">
        <is>
          <t>Cash &amp; Equivalents:</t>
        </is>
      </c>
      <c r="D14" s="19" t="n">
        <v>500</v>
      </c>
    </row>
    <row r="15">
      <c r="C15" t="inlineStr">
        <is>
          <t>Total Debt:</t>
        </is>
      </c>
      <c r="D15" s="19" t="n">
        <v>1000</v>
      </c>
    </row>
    <row r="16">
      <c r="C16" t="inlineStr">
        <is>
          <t>Preferred Stock:</t>
        </is>
      </c>
      <c r="D16" s="19" t="n">
        <v>0</v>
      </c>
    </row>
    <row r="17">
      <c r="C17" t="inlineStr">
        <is>
          <t>Minority Interest:</t>
        </is>
      </c>
      <c r="D17" s="19" t="n">
        <v>0</v>
      </c>
    </row>
    <row r="25">
      <c r="C25" s="4" t="inlineStr">
        <is>
          <t>BRIDGE TO EQUITY VALUE</t>
        </is>
      </c>
    </row>
    <row r="26">
      <c r="C26" t="inlineStr">
        <is>
          <t>Enterprise Value (PV of FCF + Terminal)</t>
        </is>
      </c>
      <c r="D26" s="20">
        <f>SUM(D100:I100)+D102</f>
        <v/>
      </c>
    </row>
    <row r="27">
      <c r="C27" t="inlineStr">
        <is>
          <t>(+) Cash &amp; Equivalents</t>
        </is>
      </c>
      <c r="D27" s="20">
        <f>D19</f>
        <v/>
      </c>
    </row>
    <row r="28">
      <c r="C28" t="inlineStr">
        <is>
          <t>(-) Total Debt</t>
        </is>
      </c>
      <c r="D28" s="20">
        <f>-D20</f>
        <v/>
      </c>
    </row>
    <row r="29">
      <c r="C29" t="inlineStr">
        <is>
          <t>Equity Value</t>
        </is>
      </c>
      <c r="D29" s="21">
        <f>SUM(D26:D28)</f>
        <v/>
      </c>
    </row>
    <row r="31">
      <c r="C31" t="inlineStr">
        <is>
          <t>Implied Price per Share:</t>
        </is>
      </c>
      <c r="D31" s="22">
        <f>D29/D48</f>
        <v/>
      </c>
    </row>
    <row r="32">
      <c r="C32" t="inlineStr">
        <is>
          <t>Current Share Price:</t>
        </is>
      </c>
      <c r="D32" s="6">
        <f>D10</f>
        <v/>
      </c>
    </row>
    <row r="33">
      <c r="C33" t="inlineStr">
        <is>
          <t>Upside / (Downside):</t>
        </is>
      </c>
      <c r="D33" s="23">
        <f>D32/D33-1</f>
        <v/>
      </c>
    </row>
    <row r="36">
      <c r="C36" s="4" t="inlineStr">
        <is>
          <t>COST OF CAPITAL</t>
        </is>
      </c>
    </row>
    <row r="37">
      <c r="C37" t="inlineStr">
        <is>
          <t>WACC:</t>
        </is>
      </c>
      <c r="D37" s="24">
        <f>WACC!F35</f>
        <v/>
      </c>
    </row>
    <row r="38">
      <c r="C38" t="inlineStr">
        <is>
          <t>Tax Rate:</t>
        </is>
      </c>
      <c r="D38" s="7">
        <f>D13</f>
        <v/>
      </c>
    </row>
    <row r="41">
      <c r="C41" s="4" t="inlineStr">
        <is>
          <t>KEY ASSUMPTIONS</t>
        </is>
      </c>
    </row>
    <row r="42">
      <c r="C42" t="inlineStr">
        <is>
          <t>Projection Years:</t>
        </is>
      </c>
      <c r="D42" s="15" t="n">
        <v>5</v>
      </c>
    </row>
    <row r="43">
      <c r="C43" t="inlineStr">
        <is>
          <t>Base Year Revenue ($mm):</t>
        </is>
      </c>
      <c r="D43" s="19" t="n">
        <v>5000</v>
      </c>
    </row>
    <row r="45">
      <c r="C45" t="inlineStr">
        <is>
          <t>Diluted Shares Outstanding (mm):</t>
        </is>
      </c>
      <c r="D45" s="25" t="n">
        <v>100</v>
      </c>
    </row>
    <row r="58">
      <c r="C58" s="4" t="inlineStr">
        <is>
          <t>FINANCIAL PROJECTIONS</t>
        </is>
      </c>
    </row>
    <row r="59">
      <c r="C59" s="26" t="inlineStr">
        <is>
          <t>Item</t>
        </is>
      </c>
      <c r="D59" s="26" t="inlineStr">
        <is>
          <t>LTM</t>
        </is>
      </c>
      <c r="E59" s="26" t="inlineStr">
        <is>
          <t>Year 1</t>
        </is>
      </c>
      <c r="F59" s="26" t="inlineStr">
        <is>
          <t>Year 2</t>
        </is>
      </c>
      <c r="G59" s="26" t="inlineStr">
        <is>
          <t>Year 3</t>
        </is>
      </c>
      <c r="H59" s="26" t="inlineStr">
        <is>
          <t>Year 4</t>
        </is>
      </c>
      <c r="I59" s="26" t="inlineStr">
        <is>
          <t>Year 5</t>
        </is>
      </c>
    </row>
    <row r="60">
      <c r="C60" t="inlineStr">
        <is>
          <t>Revenue Growth %</t>
        </is>
      </c>
      <c r="E60" s="16" t="n">
        <v>0.1</v>
      </c>
      <c r="F60" s="16" t="n">
        <v>0.09</v>
      </c>
      <c r="G60" s="16" t="n">
        <v>0.08</v>
      </c>
      <c r="H60" s="16" t="n">
        <v>0.07000000000000001</v>
      </c>
      <c r="I60" s="16" t="n">
        <v>0.06</v>
      </c>
    </row>
    <row r="61">
      <c r="C61" t="inlineStr">
        <is>
          <t>Revenue</t>
        </is>
      </c>
      <c r="D61" s="20">
        <f>D45</f>
        <v/>
      </c>
      <c r="E61" s="20">
        <f>D63*(1+E61)</f>
        <v/>
      </c>
      <c r="F61" s="20">
        <f>E63*(1+F61)</f>
        <v/>
      </c>
      <c r="G61" s="20">
        <f>F63*(1+G61)</f>
        <v/>
      </c>
      <c r="H61" s="20">
        <f>G63*(1+H61)</f>
        <v/>
      </c>
      <c r="I61" s="20">
        <f>H63*(1+I61)</f>
        <v/>
      </c>
    </row>
    <row r="62">
      <c r="C62" t="inlineStr">
        <is>
          <t>EBITDA Margin %</t>
        </is>
      </c>
      <c r="D62" s="16" t="n">
        <v>0.2</v>
      </c>
      <c r="E62" s="16" t="n">
        <v>0.21</v>
      </c>
      <c r="F62" s="16" t="n">
        <v>0.22</v>
      </c>
      <c r="G62" s="16" t="n">
        <v>0.23</v>
      </c>
      <c r="H62" s="16" t="n">
        <v>0.24</v>
      </c>
      <c r="I62" s="16" t="n">
        <v>0.25</v>
      </c>
    </row>
    <row r="63">
      <c r="C63" t="inlineStr">
        <is>
          <t>EBITDA</t>
        </is>
      </c>
      <c r="D63" s="20">
        <f>D63*D64</f>
        <v/>
      </c>
      <c r="E63" s="20">
        <f>E63*E64</f>
        <v/>
      </c>
      <c r="F63" s="20">
        <f>F63*F64</f>
        <v/>
      </c>
      <c r="G63" s="20">
        <f>G63*G64</f>
        <v/>
      </c>
      <c r="H63" s="20">
        <f>H63*H64</f>
        <v/>
      </c>
      <c r="I63" s="20">
        <f>I63*I64</f>
        <v/>
      </c>
    </row>
    <row r="64">
      <c r="C64" t="inlineStr">
        <is>
          <t>D&amp;A % of Revenue</t>
        </is>
      </c>
      <c r="D64" s="16" t="n">
        <v>0.03</v>
      </c>
      <c r="E64" s="16" t="n">
        <v>0.03</v>
      </c>
      <c r="F64" s="16" t="n">
        <v>0.03</v>
      </c>
      <c r="G64" s="16" t="n">
        <v>0.03</v>
      </c>
      <c r="H64" s="16" t="n">
        <v>0.03</v>
      </c>
      <c r="I64" s="16" t="n">
        <v>0.03</v>
      </c>
    </row>
    <row r="65">
      <c r="C65" t="inlineStr">
        <is>
          <t>Depreciation &amp; Amortization</t>
        </is>
      </c>
      <c r="D65" s="20">
        <f>D63*D68</f>
        <v/>
      </c>
      <c r="E65" s="20">
        <f>E63*E68</f>
        <v/>
      </c>
      <c r="F65" s="20">
        <f>F63*F68</f>
        <v/>
      </c>
      <c r="G65" s="20">
        <f>G63*G68</f>
        <v/>
      </c>
      <c r="H65" s="20">
        <f>H63*H68</f>
        <v/>
      </c>
      <c r="I65" s="20">
        <f>I63*I68</f>
        <v/>
      </c>
    </row>
    <row r="66">
      <c r="C66" t="inlineStr">
        <is>
          <t>EBIT</t>
        </is>
      </c>
      <c r="D66" s="20">
        <f>D67-D69</f>
        <v/>
      </c>
      <c r="E66" s="20">
        <f>E67-E69</f>
        <v/>
      </c>
      <c r="F66" s="20">
        <f>F67-F69</f>
        <v/>
      </c>
      <c r="G66" s="20">
        <f>G67-G69</f>
        <v/>
      </c>
      <c r="H66" s="20">
        <f>H67-H69</f>
        <v/>
      </c>
      <c r="I66" s="20">
        <f>I67-I69</f>
        <v/>
      </c>
    </row>
    <row r="67">
      <c r="C67" t="inlineStr">
        <is>
          <t>Less: Taxes</t>
        </is>
      </c>
      <c r="D67" s="27">
        <f>-D70*$D$13</f>
        <v/>
      </c>
      <c r="E67" s="27">
        <f>-E70*$D$13</f>
        <v/>
      </c>
      <c r="F67" s="27">
        <f>-F70*$D$13</f>
        <v/>
      </c>
      <c r="G67" s="27">
        <f>-G70*$D$13</f>
        <v/>
      </c>
      <c r="H67" s="27">
        <f>-H70*$D$13</f>
        <v/>
      </c>
      <c r="I67" s="27">
        <f>-I70*$D$13</f>
        <v/>
      </c>
    </row>
    <row r="68">
      <c r="C68" t="inlineStr">
        <is>
          <t>NOPAT (After-Tax Operating Profit)</t>
        </is>
      </c>
      <c r="D68" s="20">
        <f>D70+D71</f>
        <v/>
      </c>
      <c r="E68" s="20">
        <f>E70+E71</f>
        <v/>
      </c>
      <c r="F68" s="20">
        <f>F70+F71</f>
        <v/>
      </c>
      <c r="G68" s="20">
        <f>G70+G71</f>
        <v/>
      </c>
      <c r="H68" s="20">
        <f>H70+H71</f>
        <v/>
      </c>
      <c r="I68" s="20">
        <f>I70+I71</f>
        <v/>
      </c>
    </row>
    <row r="69">
      <c r="C69" t="inlineStr">
        <is>
          <t>Add: D&amp;A</t>
        </is>
      </c>
      <c r="D69" s="20">
        <f>D69</f>
        <v/>
      </c>
      <c r="E69" s="20">
        <f>E69</f>
        <v/>
      </c>
      <c r="F69" s="20">
        <f>F69</f>
        <v/>
      </c>
      <c r="G69" s="20">
        <f>G69</f>
        <v/>
      </c>
      <c r="H69" s="20">
        <f>H69</f>
        <v/>
      </c>
      <c r="I69" s="20">
        <f>I69</f>
        <v/>
      </c>
    </row>
    <row r="70">
      <c r="C70" t="inlineStr">
        <is>
          <t>CapEx % of Revenue</t>
        </is>
      </c>
      <c r="D70" s="16" t="n">
        <v>0.04</v>
      </c>
      <c r="E70" s="16" t="n">
        <v>0.04</v>
      </c>
      <c r="F70" s="16" t="n">
        <v>0.04</v>
      </c>
      <c r="G70" s="16" t="n">
        <v>0.04</v>
      </c>
      <c r="H70" s="16" t="n">
        <v>0.04</v>
      </c>
      <c r="I70" s="16" t="n">
        <v>0.04</v>
      </c>
    </row>
    <row r="71">
      <c r="C71" t="inlineStr">
        <is>
          <t>Less: Capital Expenditures</t>
        </is>
      </c>
      <c r="D71" s="27">
        <f>-D63*D76</f>
        <v/>
      </c>
      <c r="E71" s="27">
        <f>-E63*E76</f>
        <v/>
      </c>
      <c r="F71" s="27">
        <f>-F63*F76</f>
        <v/>
      </c>
      <c r="G71" s="27">
        <f>-G63*G76</f>
        <v/>
      </c>
      <c r="H71" s="27">
        <f>-H63*H76</f>
        <v/>
      </c>
      <c r="I71" s="27">
        <f>-I63*I76</f>
        <v/>
      </c>
    </row>
    <row r="72">
      <c r="C72" t="inlineStr">
        <is>
          <t>NWC % of Revenue</t>
        </is>
      </c>
      <c r="D72" s="16" t="n">
        <v>0.1</v>
      </c>
      <c r="E72" s="16" t="n">
        <v>0.1</v>
      </c>
      <c r="F72" s="16" t="n">
        <v>0.1</v>
      </c>
      <c r="G72" s="16" t="n">
        <v>0.1</v>
      </c>
      <c r="H72" s="16" t="n">
        <v>0.1</v>
      </c>
      <c r="I72" s="16" t="n">
        <v>0.1</v>
      </c>
    </row>
    <row r="73">
      <c r="C73" t="inlineStr">
        <is>
          <t>Net Working Capital</t>
        </is>
      </c>
      <c r="D73" s="20">
        <f>D63*D80</f>
        <v/>
      </c>
      <c r="E73" s="20">
        <f>E63*E80</f>
        <v/>
      </c>
      <c r="F73" s="20">
        <f>F63*F80</f>
        <v/>
      </c>
      <c r="G73" s="20">
        <f>G63*G80</f>
        <v/>
      </c>
      <c r="H73" s="20">
        <f>H63*H80</f>
        <v/>
      </c>
      <c r="I73" s="20">
        <f>I63*I80</f>
        <v/>
      </c>
    </row>
    <row r="74">
      <c r="C74" t="inlineStr">
        <is>
          <t>Less: Change in NWC</t>
        </is>
      </c>
      <c r="D74" s="20" t="n">
        <v>0</v>
      </c>
      <c r="E74" s="20">
        <f>-(E81-D81)</f>
        <v/>
      </c>
      <c r="F74" s="20">
        <f>-(F81-E81)</f>
        <v/>
      </c>
      <c r="G74" s="20">
        <f>-(G81-F81)</f>
        <v/>
      </c>
      <c r="H74" s="20">
        <f>-(H81-G81)</f>
        <v/>
      </c>
      <c r="I74" s="20">
        <f>-(I81-H81)</f>
        <v/>
      </c>
    </row>
    <row r="76">
      <c r="C76" t="inlineStr">
        <is>
          <t>UNLEVERED FREE CASH FLOW</t>
        </is>
      </c>
      <c r="D76" s="28">
        <f>D72+D75+D77+D82</f>
        <v/>
      </c>
      <c r="E76" s="28">
        <f>E72+E75+E77+E82</f>
        <v/>
      </c>
      <c r="F76" s="28">
        <f>F72+F75+F77+F82</f>
        <v/>
      </c>
      <c r="G76" s="28">
        <f>G72+G75+G77+G82</f>
        <v/>
      </c>
      <c r="H76" s="28">
        <f>H72+H75+H77+H82</f>
        <v/>
      </c>
      <c r="I76" s="28">
        <f>I72+I75+I77+I82</f>
        <v/>
      </c>
    </row>
    <row r="78">
      <c r="C78" t="inlineStr">
        <is>
          <t>Discount Period (Mid-Year)</t>
        </is>
      </c>
      <c r="D78" s="29" t="n">
        <v>0</v>
      </c>
      <c r="E78" s="29" t="n">
        <v>0.5</v>
      </c>
      <c r="F78" s="29" t="n">
        <v>1.5</v>
      </c>
      <c r="G78" s="29" t="n">
        <v>2.5</v>
      </c>
      <c r="H78" s="29" t="n">
        <v>3.5</v>
      </c>
      <c r="I78" s="29" t="n">
        <v>4.5</v>
      </c>
    </row>
    <row r="79">
      <c r="C79" t="inlineStr">
        <is>
          <t>Discount Factor</t>
        </is>
      </c>
      <c r="D79" s="30">
        <f>1/((1+$D$37)^D90)</f>
        <v/>
      </c>
      <c r="E79" s="30">
        <f>1/((1+$D$37)^E90)</f>
        <v/>
      </c>
      <c r="F79" s="30">
        <f>1/((1+$D$37)^F90)</f>
        <v/>
      </c>
      <c r="G79" s="30">
        <f>1/((1+$D$37)^G90)</f>
        <v/>
      </c>
      <c r="H79" s="30">
        <f>1/((1+$D$37)^H90)</f>
        <v/>
      </c>
      <c r="I79" s="30">
        <f>1/((1+$D$37)^I90)</f>
        <v/>
      </c>
    </row>
    <row r="80">
      <c r="C80" t="inlineStr">
        <is>
          <t>Present Value of FCF</t>
        </is>
      </c>
      <c r="D80" s="20">
        <f>D84*D91</f>
        <v/>
      </c>
      <c r="E80" s="20">
        <f>E84*E91</f>
        <v/>
      </c>
      <c r="F80" s="20">
        <f>F84*F91</f>
        <v/>
      </c>
      <c r="G80" s="20">
        <f>G84*G91</f>
        <v/>
      </c>
      <c r="H80" s="20">
        <f>H84*H91</f>
        <v/>
      </c>
      <c r="I80" s="20">
        <f>I84*I91</f>
        <v/>
      </c>
    </row>
    <row r="82">
      <c r="C82" s="4" t="inlineStr">
        <is>
          <t>TERMINAL VALUE CALCULATION</t>
        </is>
      </c>
    </row>
    <row r="83">
      <c r="C83" t="inlineStr">
        <is>
          <t>Terminal Year FCF</t>
        </is>
      </c>
      <c r="D83" s="20">
        <f>I84</f>
        <v/>
      </c>
    </row>
    <row r="84">
      <c r="C84" t="inlineStr">
        <is>
          <t>Terminal Year EBITDA</t>
        </is>
      </c>
      <c r="D84" s="20">
        <f>I67</f>
        <v/>
      </c>
    </row>
    <row r="85">
      <c r="C85" t="inlineStr">
        <is>
          <t>Terminal Value</t>
        </is>
      </c>
      <c r="D85" s="31">
        <f>IF(G9="Growth",D97*(1+G7)/(D37-G7),D98*G8)</f>
        <v/>
      </c>
    </row>
    <row r="86">
      <c r="C86" t="inlineStr">
        <is>
          <t>Terminal Period</t>
        </is>
      </c>
      <c r="D86" s="8" t="n">
        <v>5</v>
      </c>
    </row>
    <row r="87">
      <c r="C87" t="inlineStr">
        <is>
          <t>PV of Terminal Value</t>
        </is>
      </c>
      <c r="D87" s="32">
        <f>D99/((1+D37)^D100)</f>
        <v/>
      </c>
    </row>
  </sheetData>
  <mergeCells count="10">
    <mergeCell ref="C6:D6"/>
    <mergeCell ref="C3:I3"/>
    <mergeCell ref="C25:D25"/>
    <mergeCell ref="C41:D41"/>
    <mergeCell ref="C82:I82"/>
    <mergeCell ref="C36:D36"/>
    <mergeCell ref="F6:G6"/>
    <mergeCell ref="C13:D13"/>
    <mergeCell ref="C2:I2"/>
    <mergeCell ref="C58:I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J26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C2" s="14" t="inlineStr">
        <is>
          <t>SENSITIVITY ANALYSIS</t>
        </is>
      </c>
    </row>
    <row r="5">
      <c r="C5" s="4" t="inlineStr">
        <is>
          <t>SENSITIVITY TABLE 1: WACC vs Terminal Growth Rate</t>
        </is>
      </c>
    </row>
    <row r="6">
      <c r="C6" s="33" t="inlineStr">
        <is>
          <t>Implied Share Price</t>
        </is>
      </c>
    </row>
    <row r="7">
      <c r="D7" s="34" t="n">
        <v>0.015</v>
      </c>
      <c r="E7" s="34" t="n">
        <v>0.02</v>
      </c>
      <c r="F7" s="34" t="n">
        <v>0.025</v>
      </c>
      <c r="G7" s="34" t="n">
        <v>0.03</v>
      </c>
      <c r="H7" s="34" t="n">
        <v>0.035</v>
      </c>
      <c r="I7" s="34" t="n">
        <v>0.04</v>
      </c>
      <c r="J7" s="34" t="n">
        <v>0.045</v>
      </c>
    </row>
    <row r="8">
      <c r="C8" s="34" t="n">
        <v>0.07000000000000001</v>
      </c>
      <c r="D8" s="6">
        <f>(((DCF!I84*(1+0.015))/(0.07-0.015))/((1+0.07)^5)+SUM(DCF!E92:DCF!I92)+DCF!D19-DCF!D20)/DCF!D48</f>
        <v/>
      </c>
      <c r="E8" s="6">
        <f>(((DCF!I84*(1+0.02))/(0.07-0.02))/((1+0.07)^5)+SUM(DCF!E92:DCF!I92)+DCF!D19-DCF!D20)/DCF!D48</f>
        <v/>
      </c>
      <c r="F8" s="6">
        <f>(((DCF!I84*(1+0.025))/(0.07-0.025))/((1+0.07)^5)+SUM(DCF!E92:DCF!I92)+DCF!D19-DCF!D20)/DCF!D48</f>
        <v/>
      </c>
      <c r="G8" s="6">
        <f>(((DCF!I84*(1+0.03))/(0.07-0.03))/((1+0.07)^5)+SUM(DCF!E92:DCF!I92)+DCF!D19-DCF!D20)/DCF!D48</f>
        <v/>
      </c>
      <c r="H8" s="6">
        <f>(((DCF!I84*(1+0.035))/(0.07-0.035))/((1+0.07)^5)+SUM(DCF!E92:DCF!I92)+DCF!D19-DCF!D20)/DCF!D48</f>
        <v/>
      </c>
      <c r="I8" s="6">
        <f>(((DCF!I84*(1+0.04))/(0.07-0.04))/((1+0.07)^5)+SUM(DCF!E92:DCF!I92)+DCF!D19-DCF!D20)/DCF!D48</f>
        <v/>
      </c>
      <c r="J8" s="6">
        <f>(((DCF!I84*(1+0.045))/(0.07-0.045))/((1+0.07)^5)+SUM(DCF!E92:DCF!I92)+DCF!D19-DCF!D20)/DCF!D48</f>
        <v/>
      </c>
    </row>
    <row r="9">
      <c r="C9" s="34" t="n">
        <v>0.075</v>
      </c>
      <c r="D9" s="6">
        <f>(((DCF!I84*(1+0.015))/(0.075-0.015))/((1+0.075)^5)+SUM(DCF!E92:DCF!I92)+DCF!D19-DCF!D20)/DCF!D48</f>
        <v/>
      </c>
      <c r="E9" s="6">
        <f>(((DCF!I84*(1+0.02))/(0.075-0.02))/((1+0.075)^5)+SUM(DCF!E92:DCF!I92)+DCF!D19-DCF!D20)/DCF!D48</f>
        <v/>
      </c>
      <c r="F9" s="35">
        <f>(((DCF!I84*(1+0.025))/(0.075-0.025))/((1+0.075)^5)+SUM(DCF!E92:DCF!I92)+DCF!D19-DCF!D20)/DCF!D48</f>
        <v/>
      </c>
      <c r="G9" s="6">
        <f>(((DCF!I84*(1+0.03))/(0.075-0.03))/((1+0.075)^5)+SUM(DCF!E92:DCF!I92)+DCF!D19-DCF!D20)/DCF!D48</f>
        <v/>
      </c>
      <c r="H9" s="6">
        <f>(((DCF!I84*(1+0.035))/(0.075-0.035))/((1+0.075)^5)+SUM(DCF!E92:DCF!I92)+DCF!D19-DCF!D20)/DCF!D48</f>
        <v/>
      </c>
      <c r="I9" s="6">
        <f>(((DCF!I84*(1+0.04))/(0.075-0.04))/((1+0.075)^5)+SUM(DCF!E92:DCF!I92)+DCF!D19-DCF!D20)/DCF!D48</f>
        <v/>
      </c>
      <c r="J9" s="6">
        <f>(((DCF!I84*(1+0.045))/(0.075-0.045))/((1+0.075)^5)+SUM(DCF!E92:DCF!I92)+DCF!D19-DCF!D20)/DCF!D48</f>
        <v/>
      </c>
    </row>
    <row r="10">
      <c r="C10" s="34" t="n">
        <v>0.08</v>
      </c>
      <c r="D10" s="6">
        <f>(((DCF!I84*(1+0.015))/(0.08-0.015))/((1+0.08)^5)+SUM(DCF!E92:DCF!I92)+DCF!D19-DCF!D20)/DCF!D48</f>
        <v/>
      </c>
      <c r="E10" s="6">
        <f>(((DCF!I84*(1+0.02))/(0.08-0.02))/((1+0.08)^5)+SUM(DCF!E92:DCF!I92)+DCF!D19-DCF!D20)/DCF!D48</f>
        <v/>
      </c>
      <c r="F10" s="6">
        <f>(((DCF!I84*(1+0.025))/(0.08-0.025))/((1+0.08)^5)+SUM(DCF!E92:DCF!I92)+DCF!D19-DCF!D20)/DCF!D48</f>
        <v/>
      </c>
      <c r="G10" s="6">
        <f>(((DCF!I84*(1+0.03))/(0.08-0.03))/((1+0.08)^5)+SUM(DCF!E92:DCF!I92)+DCF!D19-DCF!D20)/DCF!D48</f>
        <v/>
      </c>
      <c r="H10" s="6">
        <f>(((DCF!I84*(1+0.035))/(0.08-0.035))/((1+0.08)^5)+SUM(DCF!E92:DCF!I92)+DCF!D19-DCF!D20)/DCF!D48</f>
        <v/>
      </c>
      <c r="I10" s="6">
        <f>(((DCF!I84*(1+0.04))/(0.08-0.04))/((1+0.08)^5)+SUM(DCF!E92:DCF!I92)+DCF!D19-DCF!D20)/DCF!D48</f>
        <v/>
      </c>
      <c r="J10" s="6">
        <f>(((DCF!I84*(1+0.045))/(0.08-0.045))/((1+0.08)^5)+SUM(DCF!E92:DCF!I92)+DCF!D19-DCF!D20)/DCF!D48</f>
        <v/>
      </c>
    </row>
    <row r="11">
      <c r="C11" s="34" t="n">
        <v>0.08500000000000001</v>
      </c>
      <c r="D11" s="6">
        <f>(((DCF!I84*(1+0.015))/(0.085-0.015))/((1+0.085)^5)+SUM(DCF!E92:DCF!I92)+DCF!D19-DCF!D20)/DCF!D48</f>
        <v/>
      </c>
      <c r="E11" s="6">
        <f>(((DCF!I84*(1+0.02))/(0.085-0.02))/((1+0.085)^5)+SUM(DCF!E92:DCF!I92)+DCF!D19-DCF!D20)/DCF!D48</f>
        <v/>
      </c>
      <c r="F11" s="6">
        <f>(((DCF!I84*(1+0.025))/(0.085-0.025))/((1+0.085)^5)+SUM(DCF!E92:DCF!I92)+DCF!D19-DCF!D20)/DCF!D48</f>
        <v/>
      </c>
      <c r="G11" s="6">
        <f>(((DCF!I84*(1+0.03))/(0.085-0.03))/((1+0.085)^5)+SUM(DCF!E92:DCF!I92)+DCF!D19-DCF!D20)/DCF!D48</f>
        <v/>
      </c>
      <c r="H11" s="6">
        <f>(((DCF!I84*(1+0.035))/(0.085-0.035))/((1+0.085)^5)+SUM(DCF!E92:DCF!I92)+DCF!D19-DCF!D20)/DCF!D48</f>
        <v/>
      </c>
      <c r="I11" s="6">
        <f>(((DCF!I84*(1+0.04))/(0.085-0.04))/((1+0.085)^5)+SUM(DCF!E92:DCF!I92)+DCF!D19-DCF!D20)/DCF!D48</f>
        <v/>
      </c>
      <c r="J11" s="6">
        <f>(((DCF!I84*(1+0.045))/(0.085-0.045))/((1+0.085)^5)+SUM(DCF!E92:DCF!I92)+DCF!D19-DCF!D20)/DCF!D48</f>
        <v/>
      </c>
    </row>
    <row r="12">
      <c r="C12" s="34" t="n">
        <v>0.09</v>
      </c>
      <c r="D12" s="6">
        <f>(((DCF!I84*(1+0.015))/(0.09-0.015))/((1+0.09)^5)+SUM(DCF!E92:DCF!I92)+DCF!D19-DCF!D20)/DCF!D48</f>
        <v/>
      </c>
      <c r="E12" s="6">
        <f>(((DCF!I84*(1+0.02))/(0.09-0.02))/((1+0.09)^5)+SUM(DCF!E92:DCF!I92)+DCF!D19-DCF!D20)/DCF!D48</f>
        <v/>
      </c>
      <c r="F12" s="6">
        <f>(((DCF!I84*(1+0.025))/(0.09-0.025))/((1+0.09)^5)+SUM(DCF!E92:DCF!I92)+DCF!D19-DCF!D20)/DCF!D48</f>
        <v/>
      </c>
      <c r="G12" s="6">
        <f>(((DCF!I84*(1+0.03))/(0.09-0.03))/((1+0.09)^5)+SUM(DCF!E92:DCF!I92)+DCF!D19-DCF!D20)/DCF!D48</f>
        <v/>
      </c>
      <c r="H12" s="6">
        <f>(((DCF!I84*(1+0.035))/(0.09-0.035))/((1+0.09)^5)+SUM(DCF!E92:DCF!I92)+DCF!D19-DCF!D20)/DCF!D48</f>
        <v/>
      </c>
      <c r="I12" s="6">
        <f>(((DCF!I84*(1+0.04))/(0.09-0.04))/((1+0.09)^5)+SUM(DCF!E92:DCF!I92)+DCF!D19-DCF!D20)/DCF!D48</f>
        <v/>
      </c>
      <c r="J12" s="6">
        <f>(((DCF!I84*(1+0.045))/(0.09-0.045))/((1+0.09)^5)+SUM(DCF!E92:DCF!I92)+DCF!D19-DCF!D20)/DCF!D48</f>
        <v/>
      </c>
    </row>
    <row r="13">
      <c r="C13" s="34" t="n">
        <v>0.095</v>
      </c>
      <c r="D13" s="6">
        <f>(((DCF!I84*(1+0.015))/(0.095-0.015))/((1+0.095)^5)+SUM(DCF!E92:DCF!I92)+DCF!D19-DCF!D20)/DCF!D48</f>
        <v/>
      </c>
      <c r="E13" s="6">
        <f>(((DCF!I84*(1+0.02))/(0.095-0.02))/((1+0.095)^5)+SUM(DCF!E92:DCF!I92)+DCF!D19-DCF!D20)/DCF!D48</f>
        <v/>
      </c>
      <c r="F13" s="6">
        <f>(((DCF!I84*(1+0.025))/(0.095-0.025))/((1+0.095)^5)+SUM(DCF!E92:DCF!I92)+DCF!D19-DCF!D20)/DCF!D48</f>
        <v/>
      </c>
      <c r="G13" s="6">
        <f>(((DCF!I84*(1+0.03))/(0.095-0.03))/((1+0.095)^5)+SUM(DCF!E92:DCF!I92)+DCF!D19-DCF!D20)/DCF!D48</f>
        <v/>
      </c>
      <c r="H13" s="6">
        <f>(((DCF!I84*(1+0.035))/(0.095-0.035))/((1+0.095)^5)+SUM(DCF!E92:DCF!I92)+DCF!D19-DCF!D20)/DCF!D48</f>
        <v/>
      </c>
      <c r="I13" s="6">
        <f>(((DCF!I84*(1+0.04))/(0.095-0.04))/((1+0.095)^5)+SUM(DCF!E92:DCF!I92)+DCF!D19-DCF!D20)/DCF!D48</f>
        <v/>
      </c>
      <c r="J13" s="6">
        <f>(((DCF!I84*(1+0.045))/(0.095-0.045))/((1+0.095)^5)+SUM(DCF!E92:DCF!I92)+DCF!D19-DCF!D20)/DCF!D48</f>
        <v/>
      </c>
    </row>
    <row r="14">
      <c r="C14" s="34" t="n">
        <v>0.1</v>
      </c>
      <c r="D14" s="6">
        <f>(((DCF!I84*(1+0.015))/(0.1-0.015))/((1+0.1)^5)+SUM(DCF!E92:DCF!I92)+DCF!D19-DCF!D20)/DCF!D48</f>
        <v/>
      </c>
      <c r="E14" s="6">
        <f>(((DCF!I84*(1+0.02))/(0.1-0.02))/((1+0.1)^5)+SUM(DCF!E92:DCF!I92)+DCF!D19-DCF!D20)/DCF!D48</f>
        <v/>
      </c>
      <c r="F14" s="6">
        <f>(((DCF!I84*(1+0.025))/(0.1-0.025))/((1+0.1)^5)+SUM(DCF!E92:DCF!I92)+DCF!D19-DCF!D20)/DCF!D48</f>
        <v/>
      </c>
      <c r="G14" s="6">
        <f>(((DCF!I84*(1+0.03))/(0.1-0.03))/((1+0.1)^5)+SUM(DCF!E92:DCF!I92)+DCF!D19-DCF!D20)/DCF!D48</f>
        <v/>
      </c>
      <c r="H14" s="6">
        <f>(((DCF!I84*(1+0.035))/(0.1-0.035))/((1+0.1)^5)+SUM(DCF!E92:DCF!I92)+DCF!D19-DCF!D20)/DCF!D48</f>
        <v/>
      </c>
      <c r="I14" s="6">
        <f>(((DCF!I84*(1+0.04))/(0.1-0.04))/((1+0.1)^5)+SUM(DCF!E92:DCF!I92)+DCF!D19-DCF!D20)/DCF!D48</f>
        <v/>
      </c>
      <c r="J14" s="6">
        <f>(((DCF!I84*(1+0.045))/(0.1-0.045))/((1+0.1)^5)+SUM(DCF!E92:DCF!I92)+DCF!D19-DCF!D20)/DCF!D48</f>
        <v/>
      </c>
    </row>
    <row r="17">
      <c r="C17" s="4" t="inlineStr">
        <is>
          <t>SENSITIVITY TABLE 2: WACC vs Terminal EBITDA Multiple</t>
        </is>
      </c>
    </row>
    <row r="18">
      <c r="C18" s="33" t="inlineStr">
        <is>
          <t>Implied Share Price</t>
        </is>
      </c>
    </row>
    <row r="19">
      <c r="D19" s="36" t="n">
        <v>8</v>
      </c>
      <c r="E19" s="36" t="n">
        <v>9</v>
      </c>
      <c r="F19" s="36" t="n">
        <v>10</v>
      </c>
      <c r="G19" s="36" t="n">
        <v>11</v>
      </c>
      <c r="H19" s="36" t="n">
        <v>12</v>
      </c>
      <c r="I19" s="36" t="n">
        <v>13</v>
      </c>
      <c r="J19" s="36" t="n">
        <v>14</v>
      </c>
    </row>
    <row r="20">
      <c r="C20" s="34" t="n">
        <v>0.07000000000000001</v>
      </c>
      <c r="D20" s="6">
        <f>(((DCF!I67*8.0)/((1+0.07)^5))+SUM(DCF!E92:DCF!I92)+DCF!D19-DCF!D20)/DCF!D48</f>
        <v/>
      </c>
      <c r="E20" s="6">
        <f>(((DCF!I67*9.0)/((1+0.07)^5))+SUM(DCF!E92:DCF!I92)+DCF!D19-DCF!D20)/DCF!D48</f>
        <v/>
      </c>
      <c r="F20" s="6">
        <f>(((DCF!I67*10.0)/((1+0.07)^5))+SUM(DCF!E92:DCF!I92)+DCF!D19-DCF!D20)/DCF!D48</f>
        <v/>
      </c>
      <c r="G20" s="6">
        <f>(((DCF!I67*11.0)/((1+0.07)^5))+SUM(DCF!E92:DCF!I92)+DCF!D19-DCF!D20)/DCF!D48</f>
        <v/>
      </c>
      <c r="H20" s="6">
        <f>(((DCF!I67*12.0)/((1+0.07)^5))+SUM(DCF!E92:DCF!I92)+DCF!D19-DCF!D20)/DCF!D48</f>
        <v/>
      </c>
      <c r="I20" s="6">
        <f>(((DCF!I67*13.0)/((1+0.07)^5))+SUM(DCF!E92:DCF!I92)+DCF!D19-DCF!D20)/DCF!D48</f>
        <v/>
      </c>
      <c r="J20" s="6">
        <f>(((DCF!I67*14.0)/((1+0.07)^5))+SUM(DCF!E92:DCF!I92)+DCF!D19-DCF!D20)/DCF!D48</f>
        <v/>
      </c>
    </row>
    <row r="21">
      <c r="C21" s="34" t="n">
        <v>0.075</v>
      </c>
      <c r="D21" s="6">
        <f>(((DCF!I67*8.0)/((1+0.075)^5))+SUM(DCF!E92:DCF!I92)+DCF!D19-DCF!D20)/DCF!D48</f>
        <v/>
      </c>
      <c r="E21" s="6">
        <f>(((DCF!I67*9.0)/((1+0.075)^5))+SUM(DCF!E92:DCF!I92)+DCF!D19-DCF!D20)/DCF!D48</f>
        <v/>
      </c>
      <c r="F21" s="6">
        <f>(((DCF!I67*10.0)/((1+0.075)^5))+SUM(DCF!E92:DCF!I92)+DCF!D19-DCF!D20)/DCF!D48</f>
        <v/>
      </c>
      <c r="G21" s="6">
        <f>(((DCF!I67*11.0)/((1+0.075)^5))+SUM(DCF!E92:DCF!I92)+DCF!D19-DCF!D20)/DCF!D48</f>
        <v/>
      </c>
      <c r="H21" s="6">
        <f>(((DCF!I67*12.0)/((1+0.075)^5))+SUM(DCF!E92:DCF!I92)+DCF!D19-DCF!D20)/DCF!D48</f>
        <v/>
      </c>
      <c r="I21" s="6">
        <f>(((DCF!I67*13.0)/((1+0.075)^5))+SUM(DCF!E92:DCF!I92)+DCF!D19-DCF!D20)/DCF!D48</f>
        <v/>
      </c>
      <c r="J21" s="6">
        <f>(((DCF!I67*14.0)/((1+0.075)^5))+SUM(DCF!E92:DCF!I92)+DCF!D19-DCF!D20)/DCF!D48</f>
        <v/>
      </c>
    </row>
    <row r="22">
      <c r="C22" s="34" t="n">
        <v>0.08</v>
      </c>
      <c r="D22" s="6">
        <f>(((DCF!I67*8.0)/((1+0.08)^5))+SUM(DCF!E92:DCF!I92)+DCF!D19-DCF!D20)/DCF!D48</f>
        <v/>
      </c>
      <c r="E22" s="6">
        <f>(((DCF!I67*9.0)/((1+0.08)^5))+SUM(DCF!E92:DCF!I92)+DCF!D19-DCF!D20)/DCF!D48</f>
        <v/>
      </c>
      <c r="F22" s="6">
        <f>(((DCF!I67*10.0)/((1+0.08)^5))+SUM(DCF!E92:DCF!I92)+DCF!D19-DCF!D20)/DCF!D48</f>
        <v/>
      </c>
      <c r="G22" s="6">
        <f>(((DCF!I67*11.0)/((1+0.08)^5))+SUM(DCF!E92:DCF!I92)+DCF!D19-DCF!D20)/DCF!D48</f>
        <v/>
      </c>
      <c r="H22" s="6">
        <f>(((DCF!I67*12.0)/((1+0.08)^5))+SUM(DCF!E92:DCF!I92)+DCF!D19-DCF!D20)/DCF!D48</f>
        <v/>
      </c>
      <c r="I22" s="6">
        <f>(((DCF!I67*13.0)/((1+0.08)^5))+SUM(DCF!E92:DCF!I92)+DCF!D19-DCF!D20)/DCF!D48</f>
        <v/>
      </c>
      <c r="J22" s="6">
        <f>(((DCF!I67*14.0)/((1+0.08)^5))+SUM(DCF!E92:DCF!I92)+DCF!D19-DCF!D20)/DCF!D48</f>
        <v/>
      </c>
    </row>
    <row r="23">
      <c r="C23" s="34" t="n">
        <v>0.08500000000000001</v>
      </c>
      <c r="D23" s="6">
        <f>(((DCF!I67*8.0)/((1+0.085)^5))+SUM(DCF!E92:DCF!I92)+DCF!D19-DCF!D20)/DCF!D48</f>
        <v/>
      </c>
      <c r="E23" s="6">
        <f>(((DCF!I67*9.0)/((1+0.085)^5))+SUM(DCF!E92:DCF!I92)+DCF!D19-DCF!D20)/DCF!D48</f>
        <v/>
      </c>
      <c r="F23" s="6">
        <f>(((DCF!I67*10.0)/((1+0.085)^5))+SUM(DCF!E92:DCF!I92)+DCF!D19-DCF!D20)/DCF!D48</f>
        <v/>
      </c>
      <c r="G23" s="6">
        <f>(((DCF!I67*11.0)/((1+0.085)^5))+SUM(DCF!E92:DCF!I92)+DCF!D19-DCF!D20)/DCF!D48</f>
        <v/>
      </c>
      <c r="H23" s="6">
        <f>(((DCF!I67*12.0)/((1+0.085)^5))+SUM(DCF!E92:DCF!I92)+DCF!D19-DCF!D20)/DCF!D48</f>
        <v/>
      </c>
      <c r="I23" s="6">
        <f>(((DCF!I67*13.0)/((1+0.085)^5))+SUM(DCF!E92:DCF!I92)+DCF!D19-DCF!D20)/DCF!D48</f>
        <v/>
      </c>
      <c r="J23" s="6">
        <f>(((DCF!I67*14.0)/((1+0.085)^5))+SUM(DCF!E92:DCF!I92)+DCF!D19-DCF!D20)/DCF!D48</f>
        <v/>
      </c>
    </row>
    <row r="24">
      <c r="C24" s="34" t="n">
        <v>0.09</v>
      </c>
      <c r="D24" s="6">
        <f>(((DCF!I67*8.0)/((1+0.09)^5))+SUM(DCF!E92:DCF!I92)+DCF!D19-DCF!D20)/DCF!D48</f>
        <v/>
      </c>
      <c r="E24" s="6">
        <f>(((DCF!I67*9.0)/((1+0.09)^5))+SUM(DCF!E92:DCF!I92)+DCF!D19-DCF!D20)/DCF!D48</f>
        <v/>
      </c>
      <c r="F24" s="35">
        <f>(((DCF!I67*10.0)/((1+0.09)^5))+SUM(DCF!E92:DCF!I92)+DCF!D19-DCF!D20)/DCF!D48</f>
        <v/>
      </c>
      <c r="G24" s="6">
        <f>(((DCF!I67*11.0)/((1+0.09)^5))+SUM(DCF!E92:DCF!I92)+DCF!D19-DCF!D20)/DCF!D48</f>
        <v/>
      </c>
      <c r="H24" s="6">
        <f>(((DCF!I67*12.0)/((1+0.09)^5))+SUM(DCF!E92:DCF!I92)+DCF!D19-DCF!D20)/DCF!D48</f>
        <v/>
      </c>
      <c r="I24" s="6">
        <f>(((DCF!I67*13.0)/((1+0.09)^5))+SUM(DCF!E92:DCF!I92)+DCF!D19-DCF!D20)/DCF!D48</f>
        <v/>
      </c>
      <c r="J24" s="6">
        <f>(((DCF!I67*14.0)/((1+0.09)^5))+SUM(DCF!E92:DCF!I92)+DCF!D19-DCF!D20)/DCF!D48</f>
        <v/>
      </c>
    </row>
    <row r="25">
      <c r="C25" s="34" t="n">
        <v>0.095</v>
      </c>
      <c r="D25" s="6">
        <f>(((DCF!I67*8.0)/((1+0.095)^5))+SUM(DCF!E92:DCF!I92)+DCF!D19-DCF!D20)/DCF!D48</f>
        <v/>
      </c>
      <c r="E25" s="6">
        <f>(((DCF!I67*9.0)/((1+0.095)^5))+SUM(DCF!E92:DCF!I92)+DCF!D19-DCF!D20)/DCF!D48</f>
        <v/>
      </c>
      <c r="F25" s="6">
        <f>(((DCF!I67*10.0)/((1+0.095)^5))+SUM(DCF!E92:DCF!I92)+DCF!D19-DCF!D20)/DCF!D48</f>
        <v/>
      </c>
      <c r="G25" s="6">
        <f>(((DCF!I67*11.0)/((1+0.095)^5))+SUM(DCF!E92:DCF!I92)+DCF!D19-DCF!D20)/DCF!D48</f>
        <v/>
      </c>
      <c r="H25" s="6">
        <f>(((DCF!I67*12.0)/((1+0.095)^5))+SUM(DCF!E92:DCF!I92)+DCF!D19-DCF!D20)/DCF!D48</f>
        <v/>
      </c>
      <c r="I25" s="6">
        <f>(((DCF!I67*13.0)/((1+0.095)^5))+SUM(DCF!E92:DCF!I92)+DCF!D19-DCF!D20)/DCF!D48</f>
        <v/>
      </c>
      <c r="J25" s="6">
        <f>(((DCF!I67*14.0)/((1+0.095)^5))+SUM(DCF!E92:DCF!I92)+DCF!D19-DCF!D20)/DCF!D48</f>
        <v/>
      </c>
    </row>
    <row r="26">
      <c r="C26" s="34" t="n">
        <v>0.1</v>
      </c>
      <c r="D26" s="6">
        <f>(((DCF!I67*8.0)/((1+0.1)^5))+SUM(DCF!E92:DCF!I92)+DCF!D19-DCF!D20)/DCF!D48</f>
        <v/>
      </c>
      <c r="E26" s="6">
        <f>(((DCF!I67*9.0)/((1+0.1)^5))+SUM(DCF!E92:DCF!I92)+DCF!D19-DCF!D20)/DCF!D48</f>
        <v/>
      </c>
      <c r="F26" s="6">
        <f>(((DCF!I67*10.0)/((1+0.1)^5))+SUM(DCF!E92:DCF!I92)+DCF!D19-DCF!D20)/DCF!D48</f>
        <v/>
      </c>
      <c r="G26" s="6">
        <f>(((DCF!I67*11.0)/((1+0.1)^5))+SUM(DCF!E92:DCF!I92)+DCF!D19-DCF!D20)/DCF!D48</f>
        <v/>
      </c>
      <c r="H26" s="6">
        <f>(((DCF!I67*12.0)/((1+0.1)^5))+SUM(DCF!E92:DCF!I92)+DCF!D19-DCF!D20)/DCF!D48</f>
        <v/>
      </c>
      <c r="I26" s="6">
        <f>(((DCF!I67*13.0)/((1+0.1)^5))+SUM(DCF!E92:DCF!I92)+DCF!D19-DCF!D20)/DCF!D48</f>
        <v/>
      </c>
      <c r="J26" s="6">
        <f>(((DCF!I67*14.0)/((1+0.1)^5))+SUM(DCF!E92:DCF!I92)+DCF!D19-DCF!D20)/DCF!D48</f>
        <v/>
      </c>
    </row>
  </sheetData>
  <mergeCells count="3">
    <mergeCell ref="C17:J17"/>
    <mergeCell ref="C5:J5"/>
    <mergeCell ref="C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2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4" t="inlineStr">
        <is>
          <t>TRADING COMPARABLES ANALYSIS</t>
        </is>
      </c>
    </row>
    <row r="5">
      <c r="B5" s="37" t="inlineStr">
        <is>
          <t>Company</t>
        </is>
      </c>
      <c r="C5" s="37" t="inlineStr">
        <is>
          <t>Market Cap</t>
        </is>
      </c>
      <c r="D5" s="37" t="inlineStr">
        <is>
          <t>Enterprise Value</t>
        </is>
      </c>
      <c r="E5" s="37" t="inlineStr">
        <is>
          <t>Revenue</t>
        </is>
      </c>
      <c r="F5" s="37" t="inlineStr">
        <is>
          <t>EBITDA</t>
        </is>
      </c>
      <c r="G5" s="37" t="inlineStr">
        <is>
          <t>EV/Revenue</t>
        </is>
      </c>
      <c r="H5" s="37" t="inlineStr">
        <is>
          <t>EV/EBITDA</t>
        </is>
      </c>
      <c r="I5" s="37" t="inlineStr">
        <is>
          <t>Rev Growth</t>
        </is>
      </c>
    </row>
    <row r="6">
      <c r="B6" s="15" t="inlineStr">
        <is>
          <t>Comp 1</t>
        </is>
      </c>
      <c r="C6" s="19" t="n">
        <v>10000</v>
      </c>
      <c r="D6" s="19" t="n">
        <v>11000</v>
      </c>
      <c r="E6" s="19" t="n">
        <v>5000</v>
      </c>
      <c r="F6" s="19" t="n">
        <v>1000</v>
      </c>
      <c r="G6" s="38">
        <f>IFERROR(D6/E6,"")</f>
        <v/>
      </c>
      <c r="H6" s="38">
        <f>IFERROR(D6/F6,"")</f>
        <v/>
      </c>
      <c r="I6" s="16" t="n">
        <v>0.08</v>
      </c>
    </row>
    <row r="7">
      <c r="B7" s="15" t="inlineStr">
        <is>
          <t>Comp 2</t>
        </is>
      </c>
      <c r="C7" s="19" t="n">
        <v>10000</v>
      </c>
      <c r="D7" s="19" t="n">
        <v>11000</v>
      </c>
      <c r="E7" s="19" t="n">
        <v>5000</v>
      </c>
      <c r="F7" s="19" t="n">
        <v>1000</v>
      </c>
      <c r="G7" s="38">
        <f>IFERROR(D7/E7,"")</f>
        <v/>
      </c>
      <c r="H7" s="38">
        <f>IFERROR(D7/F7,"")</f>
        <v/>
      </c>
      <c r="I7" s="16" t="n">
        <v>0.08</v>
      </c>
    </row>
    <row r="8">
      <c r="B8" s="15" t="inlineStr">
        <is>
          <t>Comp 3</t>
        </is>
      </c>
      <c r="C8" s="19" t="n">
        <v>10000</v>
      </c>
      <c r="D8" s="19" t="n">
        <v>11000</v>
      </c>
      <c r="E8" s="19" t="n">
        <v>5000</v>
      </c>
      <c r="F8" s="19" t="n">
        <v>1000</v>
      </c>
      <c r="G8" s="38">
        <f>IFERROR(D8/E8,"")</f>
        <v/>
      </c>
      <c r="H8" s="38">
        <f>IFERROR(D8/F8,"")</f>
        <v/>
      </c>
      <c r="I8" s="16" t="n">
        <v>0.08</v>
      </c>
    </row>
    <row r="9">
      <c r="B9" s="15" t="inlineStr">
        <is>
          <t>Comp 4</t>
        </is>
      </c>
      <c r="C9" s="19" t="n">
        <v>10000</v>
      </c>
      <c r="D9" s="19" t="n">
        <v>11000</v>
      </c>
      <c r="E9" s="19" t="n">
        <v>5000</v>
      </c>
      <c r="F9" s="19" t="n">
        <v>1000</v>
      </c>
      <c r="G9" s="38">
        <f>IFERROR(D9/E9,"")</f>
        <v/>
      </c>
      <c r="H9" s="38">
        <f>IFERROR(D9/F9,"")</f>
        <v/>
      </c>
      <c r="I9" s="16" t="n">
        <v>0.08</v>
      </c>
    </row>
    <row r="10">
      <c r="B10" s="15" t="inlineStr">
        <is>
          <t>Comp 5</t>
        </is>
      </c>
      <c r="C10" s="19" t="n">
        <v>10000</v>
      </c>
      <c r="D10" s="19" t="n">
        <v>11000</v>
      </c>
      <c r="E10" s="19" t="n">
        <v>5000</v>
      </c>
      <c r="F10" s="19" t="n">
        <v>1000</v>
      </c>
      <c r="G10" s="38">
        <f>IFERROR(D10/E10,"")</f>
        <v/>
      </c>
      <c r="H10" s="38">
        <f>IFERROR(D10/F10,"")</f>
        <v/>
      </c>
      <c r="I10" s="16" t="n">
        <v>0.08</v>
      </c>
    </row>
    <row r="11">
      <c r="B11" s="15" t="inlineStr">
        <is>
          <t>Comp 6</t>
        </is>
      </c>
      <c r="C11" s="19" t="n">
        <v>10000</v>
      </c>
      <c r="D11" s="19" t="n">
        <v>11000</v>
      </c>
      <c r="E11" s="19" t="n">
        <v>5000</v>
      </c>
      <c r="F11" s="19" t="n">
        <v>1000</v>
      </c>
      <c r="G11" s="38">
        <f>IFERROR(D11/E11,"")</f>
        <v/>
      </c>
      <c r="H11" s="38">
        <f>IFERROR(D11/F11,"")</f>
        <v/>
      </c>
      <c r="I11" s="16" t="n">
        <v>0.08</v>
      </c>
    </row>
    <row r="12">
      <c r="B12" s="15" t="inlineStr">
        <is>
          <t>Comp 7</t>
        </is>
      </c>
      <c r="C12" s="19" t="n">
        <v>10000</v>
      </c>
      <c r="D12" s="19" t="n">
        <v>11000</v>
      </c>
      <c r="E12" s="19" t="n">
        <v>5000</v>
      </c>
      <c r="F12" s="19" t="n">
        <v>1000</v>
      </c>
      <c r="G12" s="38">
        <f>IFERROR(D12/E12,"")</f>
        <v/>
      </c>
      <c r="H12" s="38">
        <f>IFERROR(D12/F12,"")</f>
        <v/>
      </c>
      <c r="I12" s="16" t="n">
        <v>0.08</v>
      </c>
    </row>
    <row r="13">
      <c r="B13" s="15" t="inlineStr">
        <is>
          <t>Comp 8</t>
        </is>
      </c>
      <c r="C13" s="19" t="n">
        <v>10000</v>
      </c>
      <c r="D13" s="19" t="n">
        <v>11000</v>
      </c>
      <c r="E13" s="19" t="n">
        <v>5000</v>
      </c>
      <c r="F13" s="19" t="n">
        <v>1000</v>
      </c>
      <c r="G13" s="38">
        <f>IFERROR(D13/E13,"")</f>
        <v/>
      </c>
      <c r="H13" s="38">
        <f>IFERROR(D13/F13,"")</f>
        <v/>
      </c>
      <c r="I13" s="16" t="n">
        <v>0.08</v>
      </c>
    </row>
    <row r="15">
      <c r="B15" s="39" t="inlineStr">
        <is>
          <t>SUMMARY STATISTICS</t>
        </is>
      </c>
    </row>
    <row r="16">
      <c r="B16" s="33" t="inlineStr">
        <is>
          <t>Mean</t>
        </is>
      </c>
      <c r="G16" s="38">
        <f>AVERAGE(G6:G13)</f>
        <v/>
      </c>
      <c r="H16" s="38">
        <f>AVERAGE(H6:H13)</f>
        <v/>
      </c>
    </row>
    <row r="17">
      <c r="B17" s="33" t="inlineStr">
        <is>
          <t>Median</t>
        </is>
      </c>
      <c r="G17" s="38">
        <f>MEDIAN(G6:G13)</f>
        <v/>
      </c>
      <c r="H17" s="38">
        <f>MEDIAN(H6:H13)</f>
        <v/>
      </c>
    </row>
    <row r="18">
      <c r="B18" s="33" t="inlineStr">
        <is>
          <t>25th Percentile</t>
        </is>
      </c>
      <c r="G18" s="38">
        <f>QUARTILE(G6:G13,1)</f>
        <v/>
      </c>
      <c r="H18" s="38">
        <f>QUARTILE(H6:H13,1)</f>
        <v/>
      </c>
    </row>
    <row r="19">
      <c r="B19" s="33" t="inlineStr">
        <is>
          <t>75th Percentile</t>
        </is>
      </c>
      <c r="G19" s="38">
        <f>QUARTILE(G6:G13,3)</f>
        <v/>
      </c>
      <c r="H19" s="38">
        <f>QUARTILE(H6:H13,3)</f>
        <v/>
      </c>
    </row>
    <row r="21">
      <c r="B21" s="39" t="inlineStr">
        <is>
          <t>IMPLIED VALUATION OF TARGET</t>
        </is>
      </c>
    </row>
    <row r="22">
      <c r="B22" t="inlineStr">
        <is>
          <t>Target Revenue (LTM):</t>
        </is>
      </c>
      <c r="C22" s="40">
        <f>DCF!D63</f>
        <v/>
      </c>
    </row>
    <row r="23">
      <c r="B23" t="inlineStr">
        <is>
          <t>Target EBITDA (LTM):</t>
        </is>
      </c>
      <c r="C23" s="40">
        <f>DCF!D67</f>
        <v/>
      </c>
    </row>
    <row r="24">
      <c r="B24" t="inlineStr">
        <is>
          <t>Implied EV (Median EV/EBITDA):</t>
        </is>
      </c>
      <c r="C24" s="31">
        <f>C27*H17</f>
        <v/>
      </c>
    </row>
    <row r="25">
      <c r="B25" t="inlineStr">
        <is>
          <t>(+) Cash</t>
        </is>
      </c>
      <c r="C25" s="20">
        <f>DCF!D19</f>
        <v/>
      </c>
    </row>
    <row r="26">
      <c r="B26" t="inlineStr">
        <is>
          <t>(-) Debt</t>
        </is>
      </c>
      <c r="C26" s="20">
        <f>-DCF!D20</f>
        <v/>
      </c>
    </row>
    <row r="27">
      <c r="B27" t="inlineStr">
        <is>
          <t>Equity Value:</t>
        </is>
      </c>
      <c r="C27" s="41">
        <f>SUM(C28:C30)</f>
        <v/>
      </c>
    </row>
    <row r="28">
      <c r="B28" t="inlineStr">
        <is>
          <t>Implied Price per Share:</t>
        </is>
      </c>
      <c r="C28" s="42">
        <f>C31/DCF!D48</f>
        <v/>
      </c>
    </row>
  </sheetData>
  <mergeCells count="3">
    <mergeCell ref="B21:I21"/>
    <mergeCell ref="B2:I2"/>
    <mergeCell ref="B15:I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27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4" t="inlineStr">
        <is>
          <t>PRECEDENT TRANSACTIONS ANALYSIS</t>
        </is>
      </c>
    </row>
    <row r="5">
      <c r="B5" s="37" t="inlineStr">
        <is>
          <t>Date</t>
        </is>
      </c>
      <c r="C5" s="37" t="inlineStr">
        <is>
          <t>Target</t>
        </is>
      </c>
      <c r="D5" s="37" t="inlineStr">
        <is>
          <t>Acquirer</t>
        </is>
      </c>
      <c r="E5" s="37" t="inlineStr">
        <is>
          <t>Deal Value</t>
        </is>
      </c>
      <c r="F5" s="37" t="inlineStr">
        <is>
          <t>Revenue</t>
        </is>
      </c>
      <c r="G5" s="37" t="inlineStr">
        <is>
          <t>EBITDA</t>
        </is>
      </c>
      <c r="H5" s="37" t="inlineStr">
        <is>
          <t>EV/Revenue</t>
        </is>
      </c>
      <c r="I5" s="37" t="inlineStr">
        <is>
          <t>EV/EBITDA</t>
        </is>
      </c>
    </row>
    <row r="6">
      <c r="B6" s="15" t="inlineStr">
        <is>
          <t>12/31/2024</t>
        </is>
      </c>
      <c r="C6" s="15" t="inlineStr">
        <is>
          <t>Target 1</t>
        </is>
      </c>
      <c r="D6" s="15" t="inlineStr">
        <is>
          <t>Acquirer 1</t>
        </is>
      </c>
      <c r="E6" s="19" t="n">
        <v>5000</v>
      </c>
      <c r="F6" s="19" t="n">
        <v>4000</v>
      </c>
      <c r="G6" s="19" t="n">
        <v>800</v>
      </c>
      <c r="H6" s="38">
        <f>IFERROR(E6/F6,"")</f>
        <v/>
      </c>
      <c r="I6" s="38">
        <f>IFERROR(E6/G6,"")</f>
        <v/>
      </c>
    </row>
    <row r="7">
      <c r="B7" s="15" t="inlineStr">
        <is>
          <t>12/31/2024</t>
        </is>
      </c>
      <c r="C7" s="15" t="inlineStr">
        <is>
          <t>Target 2</t>
        </is>
      </c>
      <c r="D7" s="15" t="inlineStr">
        <is>
          <t>Acquirer 2</t>
        </is>
      </c>
      <c r="E7" s="19" t="n">
        <v>5000</v>
      </c>
      <c r="F7" s="19" t="n">
        <v>4000</v>
      </c>
      <c r="G7" s="19" t="n">
        <v>800</v>
      </c>
      <c r="H7" s="38">
        <f>IFERROR(E7/F7,"")</f>
        <v/>
      </c>
      <c r="I7" s="38">
        <f>IFERROR(E7/G7,"")</f>
        <v/>
      </c>
    </row>
    <row r="8">
      <c r="B8" s="15" t="inlineStr">
        <is>
          <t>12/31/2024</t>
        </is>
      </c>
      <c r="C8" s="15" t="inlineStr">
        <is>
          <t>Target 3</t>
        </is>
      </c>
      <c r="D8" s="15" t="inlineStr">
        <is>
          <t>Acquirer 3</t>
        </is>
      </c>
      <c r="E8" s="19" t="n">
        <v>5000</v>
      </c>
      <c r="F8" s="19" t="n">
        <v>4000</v>
      </c>
      <c r="G8" s="19" t="n">
        <v>800</v>
      </c>
      <c r="H8" s="38">
        <f>IFERROR(E8/F8,"")</f>
        <v/>
      </c>
      <c r="I8" s="38">
        <f>IFERROR(E8/G8,"")</f>
        <v/>
      </c>
    </row>
    <row r="9">
      <c r="B9" s="15" t="inlineStr">
        <is>
          <t>12/31/2024</t>
        </is>
      </c>
      <c r="C9" s="15" t="inlineStr">
        <is>
          <t>Target 4</t>
        </is>
      </c>
      <c r="D9" s="15" t="inlineStr">
        <is>
          <t>Acquirer 4</t>
        </is>
      </c>
      <c r="E9" s="19" t="n">
        <v>5000</v>
      </c>
      <c r="F9" s="19" t="n">
        <v>4000</v>
      </c>
      <c r="G9" s="19" t="n">
        <v>800</v>
      </c>
      <c r="H9" s="38">
        <f>IFERROR(E9/F9,"")</f>
        <v/>
      </c>
      <c r="I9" s="38">
        <f>IFERROR(E9/G9,"")</f>
        <v/>
      </c>
    </row>
    <row r="10">
      <c r="B10" s="15" t="inlineStr">
        <is>
          <t>12/31/2024</t>
        </is>
      </c>
      <c r="C10" s="15" t="inlineStr">
        <is>
          <t>Target 5</t>
        </is>
      </c>
      <c r="D10" s="15" t="inlineStr">
        <is>
          <t>Acquirer 5</t>
        </is>
      </c>
      <c r="E10" s="19" t="n">
        <v>5000</v>
      </c>
      <c r="F10" s="19" t="n">
        <v>4000</v>
      </c>
      <c r="G10" s="19" t="n">
        <v>800</v>
      </c>
      <c r="H10" s="38">
        <f>IFERROR(E10/F10,"")</f>
        <v/>
      </c>
      <c r="I10" s="38">
        <f>IFERROR(E10/G10,"")</f>
        <v/>
      </c>
    </row>
    <row r="11">
      <c r="B11" s="15" t="inlineStr">
        <is>
          <t>12/31/2024</t>
        </is>
      </c>
      <c r="C11" s="15" t="inlineStr">
        <is>
          <t>Target 6</t>
        </is>
      </c>
      <c r="D11" s="15" t="inlineStr">
        <is>
          <t>Acquirer 6</t>
        </is>
      </c>
      <c r="E11" s="19" t="n">
        <v>5000</v>
      </c>
      <c r="F11" s="19" t="n">
        <v>4000</v>
      </c>
      <c r="G11" s="19" t="n">
        <v>800</v>
      </c>
      <c r="H11" s="38">
        <f>IFERROR(E11/F11,"")</f>
        <v/>
      </c>
      <c r="I11" s="38">
        <f>IFERROR(E11/G11,"")</f>
        <v/>
      </c>
    </row>
    <row r="12">
      <c r="B12" s="15" t="inlineStr">
        <is>
          <t>12/31/2024</t>
        </is>
      </c>
      <c r="C12" s="15" t="inlineStr">
        <is>
          <t>Target 7</t>
        </is>
      </c>
      <c r="D12" s="15" t="inlineStr">
        <is>
          <t>Acquirer 7</t>
        </is>
      </c>
      <c r="E12" s="19" t="n">
        <v>5000</v>
      </c>
      <c r="F12" s="19" t="n">
        <v>4000</v>
      </c>
      <c r="G12" s="19" t="n">
        <v>800</v>
      </c>
      <c r="H12" s="38">
        <f>IFERROR(E12/F12,"")</f>
        <v/>
      </c>
      <c r="I12" s="38">
        <f>IFERROR(E12/G12,"")</f>
        <v/>
      </c>
    </row>
    <row r="13">
      <c r="B13" s="15" t="inlineStr">
        <is>
          <t>12/31/2024</t>
        </is>
      </c>
      <c r="C13" s="15" t="inlineStr">
        <is>
          <t>Target 8</t>
        </is>
      </c>
      <c r="D13" s="15" t="inlineStr">
        <is>
          <t>Acquirer 8</t>
        </is>
      </c>
      <c r="E13" s="19" t="n">
        <v>5000</v>
      </c>
      <c r="F13" s="19" t="n">
        <v>4000</v>
      </c>
      <c r="G13" s="19" t="n">
        <v>800</v>
      </c>
      <c r="H13" s="38">
        <f>IFERROR(E13/F13,"")</f>
        <v/>
      </c>
      <c r="I13" s="38">
        <f>IFERROR(E13/G13,"")</f>
        <v/>
      </c>
    </row>
    <row r="15">
      <c r="B15" s="39" t="inlineStr">
        <is>
          <t>SUMMARY STATISTICS</t>
        </is>
      </c>
    </row>
    <row r="16">
      <c r="B16" s="33" t="inlineStr">
        <is>
          <t>Mean</t>
        </is>
      </c>
      <c r="H16" s="38">
        <f>AVERAGE(H6:H13)</f>
        <v/>
      </c>
      <c r="I16" s="38">
        <f>AVERAGE(I6:I13)</f>
        <v/>
      </c>
    </row>
    <row r="17">
      <c r="B17" s="33" t="inlineStr">
        <is>
          <t>Median</t>
        </is>
      </c>
      <c r="H17" s="38">
        <f>MEDIAN(H6:H13)</f>
        <v/>
      </c>
      <c r="I17" s="38">
        <f>MEDIAN(I6:I13)</f>
        <v/>
      </c>
    </row>
    <row r="18">
      <c r="B18" s="33" t="inlineStr">
        <is>
          <t>25th Percentile</t>
        </is>
      </c>
      <c r="H18" s="38">
        <f>QUARTILE(H6:H13,1)</f>
        <v/>
      </c>
      <c r="I18" s="38">
        <f>QUARTILE(I6:I13,1)</f>
        <v/>
      </c>
    </row>
    <row r="19">
      <c r="B19" s="33" t="inlineStr">
        <is>
          <t>75th Percentile</t>
        </is>
      </c>
      <c r="H19" s="38">
        <f>QUARTILE(H6:H13,3)</f>
        <v/>
      </c>
      <c r="I19" s="38">
        <f>QUARTILE(I6:I13,3)</f>
        <v/>
      </c>
    </row>
    <row r="21">
      <c r="B21" s="39" t="inlineStr">
        <is>
          <t>IMPLIED VALUATION OF TARGET</t>
        </is>
      </c>
    </row>
    <row r="22">
      <c r="B22" t="inlineStr">
        <is>
          <t>Target EBITDA (LTM):</t>
        </is>
      </c>
      <c r="C22" s="40">
        <f>DCF!D67</f>
        <v/>
      </c>
    </row>
    <row r="23">
      <c r="B23" t="inlineStr">
        <is>
          <t>Implied EV (Median):</t>
        </is>
      </c>
      <c r="C23" s="31">
        <f>C26*I17</f>
        <v/>
      </c>
    </row>
    <row r="24">
      <c r="B24" t="inlineStr">
        <is>
          <t>(+) Cash:</t>
        </is>
      </c>
      <c r="C24" s="20">
        <f>DCF!D19</f>
        <v/>
      </c>
    </row>
    <row r="25">
      <c r="B25" t="inlineStr">
        <is>
          <t>(-) Debt:</t>
        </is>
      </c>
      <c r="C25" s="20">
        <f>-DCF!D20</f>
        <v/>
      </c>
    </row>
    <row r="26">
      <c r="B26" t="inlineStr">
        <is>
          <t>Equity Value:</t>
        </is>
      </c>
      <c r="C26" s="41">
        <f>SUM(C27:C29)</f>
        <v/>
      </c>
    </row>
    <row r="27">
      <c r="B27" t="inlineStr">
        <is>
          <t>Implied Price per Share:</t>
        </is>
      </c>
      <c r="C27" s="42">
        <f>C30/DCF!D48</f>
        <v/>
      </c>
    </row>
  </sheetData>
  <mergeCells count="3">
    <mergeCell ref="B21:I21"/>
    <mergeCell ref="B2:I2"/>
    <mergeCell ref="B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2:I17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C2" s="14" t="inlineStr">
        <is>
          <t>CREDIT ANALYSIS &amp; LEVERAGE RATIOS</t>
        </is>
      </c>
    </row>
    <row r="5">
      <c r="C5" s="43" t="inlineStr">
        <is>
          <t>Metric</t>
        </is>
      </c>
      <c r="D5" s="43" t="inlineStr">
        <is>
          <t>LTM</t>
        </is>
      </c>
      <c r="E5" s="43" t="inlineStr">
        <is>
          <t>Year 1</t>
        </is>
      </c>
      <c r="F5" s="43" t="inlineStr">
        <is>
          <t>Year 2</t>
        </is>
      </c>
      <c r="G5" s="43" t="inlineStr">
        <is>
          <t>Year 3</t>
        </is>
      </c>
      <c r="H5" s="43" t="inlineStr">
        <is>
          <t>Year 4</t>
        </is>
      </c>
      <c r="I5" s="43" t="inlineStr">
        <is>
          <t>Year 5</t>
        </is>
      </c>
    </row>
    <row r="7">
      <c r="C7" s="39" t="inlineStr">
        <is>
          <t>LEVERAGE RATIOS</t>
        </is>
      </c>
    </row>
    <row r="8">
      <c r="C8" t="inlineStr">
        <is>
          <t>Total Debt / EBITDA</t>
        </is>
      </c>
      <c r="D8" s="38">
        <f>DCF!D20/DCF!D67</f>
        <v/>
      </c>
      <c r="E8" s="38">
        <f>DCF!D20/DCF!E67</f>
        <v/>
      </c>
      <c r="F8" s="38">
        <f>DCF!D20/DCF!F67</f>
        <v/>
      </c>
      <c r="G8" s="38">
        <f>DCF!D20/DCF!G67</f>
        <v/>
      </c>
      <c r="H8" s="38">
        <f>DCF!D20/DCF!H67</f>
        <v/>
      </c>
      <c r="I8" s="38">
        <f>DCF!D20/DCF!I67</f>
        <v/>
      </c>
    </row>
    <row r="9">
      <c r="C9" t="inlineStr">
        <is>
          <t>Net Debt / EBITDA</t>
        </is>
      </c>
      <c r="D9" s="38">
        <f>(DCF!D20-DCF!D19)/DCF!D67</f>
        <v/>
      </c>
      <c r="E9" s="38">
        <f>(DCF!D20-DCF!D19)/DCF!E67</f>
        <v/>
      </c>
      <c r="F9" s="38">
        <f>(DCF!D20-DCF!D19)/DCF!F67</f>
        <v/>
      </c>
      <c r="G9" s="38">
        <f>(DCF!D20-DCF!D19)/DCF!G67</f>
        <v/>
      </c>
      <c r="H9" s="38">
        <f>(DCF!D20-DCF!D19)/DCF!H67</f>
        <v/>
      </c>
      <c r="I9" s="38">
        <f>(DCF!D20-DCF!D19)/DCF!I67</f>
        <v/>
      </c>
    </row>
    <row r="11">
      <c r="C11" s="39" t="inlineStr">
        <is>
          <t>COVERAGE RATIOS</t>
        </is>
      </c>
    </row>
    <row r="12">
      <c r="C12" t="inlineStr">
        <is>
          <t>EBITDA / Interest</t>
        </is>
      </c>
      <c r="D12" s="38">
        <f>DCF!D67/(DCF!D20*WACC!F15)</f>
        <v/>
      </c>
      <c r="E12" s="38">
        <f>DCF!E67/(DCF!D20*WACC!F15)</f>
        <v/>
      </c>
      <c r="F12" s="38">
        <f>DCF!F67/(DCF!D20*WACC!F15)</f>
        <v/>
      </c>
      <c r="G12" s="38">
        <f>DCF!G67/(DCF!D20*WACC!F15)</f>
        <v/>
      </c>
      <c r="H12" s="38">
        <f>DCF!H67/(DCF!D20*WACC!F15)</f>
        <v/>
      </c>
      <c r="I12" s="38">
        <f>DCF!I67/(DCF!D20*WACC!F15)</f>
        <v/>
      </c>
    </row>
    <row r="13">
      <c r="C13" t="inlineStr">
        <is>
          <t>EBIT / Interest</t>
        </is>
      </c>
      <c r="D13" s="38">
        <f>DCF!D70/(DCF!D20*WACC!F15)</f>
        <v/>
      </c>
      <c r="E13" s="38">
        <f>DCF!E70/(DCF!D20*WACC!F15)</f>
        <v/>
      </c>
      <c r="F13" s="38">
        <f>DCF!F70/(DCF!D20*WACC!F15)</f>
        <v/>
      </c>
      <c r="G13" s="38">
        <f>DCF!G70/(DCF!D20*WACC!F15)</f>
        <v/>
      </c>
      <c r="H13" s="38">
        <f>DCF!H70/(DCF!D20*WACC!F15)</f>
        <v/>
      </c>
      <c r="I13" s="38">
        <f>DCF!I70/(DCF!D20*WACC!F15)</f>
        <v/>
      </c>
    </row>
    <row r="14">
      <c r="C14" t="inlineStr">
        <is>
          <t>FCF / Interest</t>
        </is>
      </c>
      <c r="D14" s="38">
        <f>DCF!D84/(DCF!D20*WACC!F15)</f>
        <v/>
      </c>
      <c r="E14" s="38">
        <f>DCF!E84/(DCF!D20*WACC!F15)</f>
        <v/>
      </c>
      <c r="F14" s="38">
        <f>DCF!F84/(DCF!D20*WACC!F15)</f>
        <v/>
      </c>
      <c r="G14" s="38">
        <f>DCF!G84/(DCF!D20*WACC!F15)</f>
        <v/>
      </c>
      <c r="H14" s="38">
        <f>DCF!H84/(DCF!D20*WACC!F15)</f>
        <v/>
      </c>
      <c r="I14" s="38">
        <f>DCF!I84/(DCF!D20*WACC!F15)</f>
        <v/>
      </c>
    </row>
    <row r="16">
      <c r="C16" s="39" t="inlineStr">
        <is>
          <t>IMPLIED CREDIT RATING</t>
        </is>
      </c>
    </row>
    <row r="17">
      <c r="C17" t="inlineStr">
        <is>
          <t>S&amp;P Equivalent Rating</t>
        </is>
      </c>
      <c r="D17" s="33">
        <f>IF(D10&lt;2,"AAA",IF(D10&lt;3,"AA",IF(D10&lt;4,"A",IF(D10&lt;5,"BBB",IF(D10&lt;6,"BB","B")))))</f>
        <v/>
      </c>
    </row>
  </sheetData>
  <mergeCells count="4">
    <mergeCell ref="C16:I16"/>
    <mergeCell ref="C11:I11"/>
    <mergeCell ref="C7:I7"/>
    <mergeCell ref="C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2:F21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8" customWidth="1" min="3" max="3"/>
    <col width="14" customWidth="1" min="4" max="4"/>
    <col width="14" customWidth="1" min="5" max="5"/>
    <col width="14" customWidth="1" min="6" max="6"/>
  </cols>
  <sheetData>
    <row r="2">
      <c r="C2" s="14" t="inlineStr">
        <is>
          <t>SCENARIO ANALYSIS</t>
        </is>
      </c>
    </row>
    <row r="5">
      <c r="C5" s="39" t="inlineStr">
        <is>
          <t>Key Assumptions</t>
        </is>
      </c>
      <c r="D5" s="39" t="inlineStr">
        <is>
          <t>Bear Case</t>
        </is>
      </c>
      <c r="E5" s="39" t="inlineStr">
        <is>
          <t>Base Case</t>
        </is>
      </c>
      <c r="F5" s="39" t="inlineStr">
        <is>
          <t>Bull Case</t>
        </is>
      </c>
    </row>
    <row r="6">
      <c r="C6" t="inlineStr">
        <is>
          <t>Revenue CAGR (Y1-5)</t>
        </is>
      </c>
      <c r="D6" s="16" t="n">
        <v>0.05</v>
      </c>
      <c r="E6" s="16" t="n">
        <v>0.08</v>
      </c>
      <c r="F6" s="16" t="n">
        <v>0.12</v>
      </c>
    </row>
    <row r="7">
      <c r="C7" t="inlineStr">
        <is>
          <t>EBITDA Margin (Year 5)</t>
        </is>
      </c>
      <c r="D7" s="16" t="n">
        <v>0.2</v>
      </c>
      <c r="E7" s="16" t="n">
        <v>0.25</v>
      </c>
      <c r="F7" s="16" t="n">
        <v>0.3</v>
      </c>
    </row>
    <row r="8">
      <c r="C8" t="inlineStr">
        <is>
          <t>Terminal Growth Rate</t>
        </is>
      </c>
      <c r="D8" s="16" t="n">
        <v>0.02</v>
      </c>
      <c r="E8" s="16" t="n">
        <v>0.025</v>
      </c>
      <c r="F8" s="16" t="n">
        <v>0.03</v>
      </c>
    </row>
    <row r="9">
      <c r="C9" t="inlineStr">
        <is>
          <t>WACC</t>
        </is>
      </c>
      <c r="D9" s="16" t="n">
        <v>0.095</v>
      </c>
      <c r="E9" s="16" t="n">
        <v>0.08500000000000001</v>
      </c>
      <c r="F9" s="16" t="n">
        <v>0.075</v>
      </c>
    </row>
    <row r="12">
      <c r="C12" s="39" t="inlineStr">
        <is>
          <t>VALUATION OUTPUTS</t>
        </is>
      </c>
    </row>
    <row r="13">
      <c r="C13" t="inlineStr">
        <is>
          <t>Implied Share Price</t>
        </is>
      </c>
      <c r="D13" s="44">
        <f>DCF!D32*0.70</f>
        <v/>
      </c>
      <c r="E13" s="44">
        <f>DCF!D32</f>
        <v/>
      </c>
      <c r="F13" s="44">
        <f>DCF!D32*1.30</f>
        <v/>
      </c>
    </row>
    <row r="14">
      <c r="C14" t="inlineStr">
        <is>
          <t>Upside / (Downside)</t>
        </is>
      </c>
      <c r="D14" s="7">
        <f>D13/DCF!D10-1</f>
        <v/>
      </c>
      <c r="E14" s="7">
        <f>E13/DCF!D10-1</f>
        <v/>
      </c>
      <c r="F14" s="7">
        <f>F13/DCF!D10-1</f>
        <v/>
      </c>
    </row>
    <row r="17">
      <c r="C17" s="39" t="inlineStr">
        <is>
          <t>PROBABILITY WEIGHTING</t>
        </is>
      </c>
    </row>
    <row r="18">
      <c r="C18" t="inlineStr">
        <is>
          <t>Probability</t>
        </is>
      </c>
      <c r="D18" s="16" t="n">
        <v>0.25</v>
      </c>
      <c r="E18" s="16" t="n">
        <v>0.5</v>
      </c>
      <c r="F18" s="16" t="n">
        <v>0.25</v>
      </c>
    </row>
    <row r="19">
      <c r="C19" t="inlineStr">
        <is>
          <t>Weighted Price</t>
        </is>
      </c>
      <c r="D19" s="6">
        <f>D13*D18</f>
        <v/>
      </c>
      <c r="E19" s="6">
        <f>E13*E18</f>
        <v/>
      </c>
      <c r="F19" s="6">
        <f>F13*F18</f>
        <v/>
      </c>
    </row>
    <row r="21">
      <c r="C21" t="inlineStr">
        <is>
          <t>Probability-Weighted Price:</t>
        </is>
      </c>
      <c r="D21" s="42">
        <f>SUM(D19:F19)</f>
        <v/>
      </c>
    </row>
  </sheetData>
  <mergeCells count="4">
    <mergeCell ref="D21:F21"/>
    <mergeCell ref="C2:F2"/>
    <mergeCell ref="C12:F12"/>
    <mergeCell ref="C17:F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C2:H27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C2" s="14" t="inlineStr">
        <is>
          <t>HISTORICAL FINANCIAL STATEMENTS</t>
        </is>
      </c>
    </row>
    <row r="5">
      <c r="C5" s="43" t="inlineStr">
        <is>
          <t>Item</t>
        </is>
      </c>
      <c r="D5" s="43" t="inlineStr">
        <is>
          <t>Year -4</t>
        </is>
      </c>
      <c r="E5" s="43" t="inlineStr">
        <is>
          <t>Year -3</t>
        </is>
      </c>
      <c r="F5" s="43" t="inlineStr">
        <is>
          <t>Year -2</t>
        </is>
      </c>
      <c r="G5" s="43" t="inlineStr">
        <is>
          <t>Year -1</t>
        </is>
      </c>
      <c r="H5" s="43" t="inlineStr">
        <is>
          <t>LTM</t>
        </is>
      </c>
    </row>
    <row r="7">
      <c r="C7" s="39" t="inlineStr">
        <is>
          <t>INCOME STATEMENT</t>
        </is>
      </c>
    </row>
    <row r="8">
      <c r="C8" t="inlineStr">
        <is>
          <t>Revenue</t>
        </is>
      </c>
      <c r="D8" s="19" t="n">
        <v>4000</v>
      </c>
      <c r="E8" s="19" t="n">
        <v>4000</v>
      </c>
      <c r="F8" s="19" t="n">
        <v>4000</v>
      </c>
      <c r="G8" s="19" t="n">
        <v>4000</v>
      </c>
      <c r="H8" s="19" t="n">
        <v>4000</v>
      </c>
    </row>
    <row r="9">
      <c r="C9" t="inlineStr">
        <is>
          <t>Revenue Growth %</t>
        </is>
      </c>
      <c r="E9" s="7">
        <f>E8/D8-1</f>
        <v/>
      </c>
      <c r="F9" s="7">
        <f>F8/E8-1</f>
        <v/>
      </c>
      <c r="G9" s="7">
        <f>G8/F8-1</f>
        <v/>
      </c>
      <c r="H9" s="7">
        <f>H8/G8-1</f>
        <v/>
      </c>
    </row>
    <row r="11">
      <c r="C11" t="inlineStr">
        <is>
          <t>EBITDA</t>
        </is>
      </c>
      <c r="D11" s="19" t="n">
        <v>800</v>
      </c>
      <c r="E11" s="19" t="n">
        <v>800</v>
      </c>
      <c r="F11" s="19" t="n">
        <v>800</v>
      </c>
      <c r="G11" s="19" t="n">
        <v>800</v>
      </c>
      <c r="H11" s="19" t="n">
        <v>800</v>
      </c>
    </row>
    <row r="12">
      <c r="C12" t="inlineStr">
        <is>
          <t>EBITDA Margin %</t>
        </is>
      </c>
      <c r="D12" s="7">
        <f>D11/D8</f>
        <v/>
      </c>
      <c r="E12" s="7">
        <f>E11/E8</f>
        <v/>
      </c>
      <c r="F12" s="7">
        <f>F11/F8</f>
        <v/>
      </c>
      <c r="G12" s="7">
        <f>G11/G8</f>
        <v/>
      </c>
      <c r="H12" s="7">
        <f>H11/H8</f>
        <v/>
      </c>
    </row>
    <row r="14">
      <c r="C14" t="inlineStr">
        <is>
          <t>Net Income</t>
        </is>
      </c>
      <c r="D14" s="19" t="n">
        <v>500</v>
      </c>
      <c r="E14" s="19" t="n">
        <v>500</v>
      </c>
      <c r="F14" s="19" t="n">
        <v>500</v>
      </c>
      <c r="G14" s="19" t="n">
        <v>500</v>
      </c>
      <c r="H14" s="19" t="n">
        <v>500</v>
      </c>
    </row>
    <row r="15">
      <c r="C15" t="inlineStr">
        <is>
          <t>Net Margin %</t>
        </is>
      </c>
      <c r="D15" s="7">
        <f>D14/D8</f>
        <v/>
      </c>
      <c r="E15" s="7">
        <f>E14/E8</f>
        <v/>
      </c>
      <c r="F15" s="7">
        <f>F14/F8</f>
        <v/>
      </c>
      <c r="G15" s="7">
        <f>G14/G8</f>
        <v/>
      </c>
      <c r="H15" s="7">
        <f>H14/H8</f>
        <v/>
      </c>
    </row>
    <row r="18">
      <c r="C18" s="39" t="inlineStr">
        <is>
          <t>BALANCE SHEET</t>
        </is>
      </c>
    </row>
    <row r="19">
      <c r="C19" t="inlineStr">
        <is>
          <t>Total Assets</t>
        </is>
      </c>
      <c r="D19" s="19" t="n">
        <v>6000</v>
      </c>
      <c r="E19" s="19" t="n">
        <v>6000</v>
      </c>
      <c r="F19" s="19" t="n">
        <v>6000</v>
      </c>
      <c r="G19" s="19" t="n">
        <v>6000</v>
      </c>
      <c r="H19" s="19" t="n">
        <v>6000</v>
      </c>
    </row>
    <row r="20">
      <c r="C20" t="inlineStr">
        <is>
          <t>Total Liabilities</t>
        </is>
      </c>
      <c r="D20" s="19" t="n">
        <v>3000</v>
      </c>
      <c r="E20" s="19" t="n">
        <v>3000</v>
      </c>
      <c r="F20" s="19" t="n">
        <v>3000</v>
      </c>
      <c r="G20" s="19" t="n">
        <v>3000</v>
      </c>
      <c r="H20" s="19" t="n">
        <v>3000</v>
      </c>
    </row>
    <row r="21">
      <c r="C21" t="inlineStr">
        <is>
          <t>Shareholders Equity</t>
        </is>
      </c>
      <c r="D21" s="20">
        <f>D19-D20</f>
        <v/>
      </c>
      <c r="E21" s="20">
        <f>E19-E20</f>
        <v/>
      </c>
      <c r="F21" s="20">
        <f>F19-F20</f>
        <v/>
      </c>
      <c r="G21" s="20">
        <f>G19-G20</f>
        <v/>
      </c>
      <c r="H21" s="20">
        <f>H19-H20</f>
        <v/>
      </c>
    </row>
    <row r="24">
      <c r="C24" s="39" t="inlineStr">
        <is>
          <t>CASH FLOW STATEMENT</t>
        </is>
      </c>
    </row>
    <row r="25">
      <c r="C25" t="inlineStr">
        <is>
          <t>Operating Cash Flow</t>
        </is>
      </c>
      <c r="D25" s="19" t="n">
        <v>900</v>
      </c>
      <c r="E25" s="19" t="n">
        <v>900</v>
      </c>
      <c r="F25" s="19" t="n">
        <v>900</v>
      </c>
      <c r="G25" s="19" t="n">
        <v>900</v>
      </c>
      <c r="H25" s="19" t="n">
        <v>900</v>
      </c>
    </row>
    <row r="26">
      <c r="C26" t="inlineStr">
        <is>
          <t>Capital Expenditures</t>
        </is>
      </c>
      <c r="D26" s="45" t="n">
        <v>-200</v>
      </c>
      <c r="E26" s="45" t="n">
        <v>-200</v>
      </c>
      <c r="F26" s="45" t="n">
        <v>-200</v>
      </c>
      <c r="G26" s="45" t="n">
        <v>-200</v>
      </c>
      <c r="H26" s="45" t="n">
        <v>-200</v>
      </c>
    </row>
    <row r="27">
      <c r="C27" t="inlineStr">
        <is>
          <t>Free Cash Flow</t>
        </is>
      </c>
      <c r="D27" s="31">
        <f>D25+D26</f>
        <v/>
      </c>
      <c r="E27" s="31">
        <f>E25+E26</f>
        <v/>
      </c>
      <c r="F27" s="31">
        <f>F25+F26</f>
        <v/>
      </c>
      <c r="G27" s="31">
        <f>G25+G26</f>
        <v/>
      </c>
      <c r="H27" s="31">
        <f>H25+H26</f>
        <v/>
      </c>
    </row>
  </sheetData>
  <mergeCells count="4">
    <mergeCell ref="C7:H7"/>
    <mergeCell ref="C18:H18"/>
    <mergeCell ref="C2:H2"/>
    <mergeCell ref="C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2025-11-01T18:17:32Z</dcterms:created>
  <dcterms:modified xmlns:dcterms="http://purl.org/dc/terms/" xmlns:xsi="http://www.w3.org/2001/XMLSchema-instance" xsi:type="dcterms:W3CDTF">2025-11-01T18:24:26Z</dcterms:modified>
</cp:coreProperties>
</file>