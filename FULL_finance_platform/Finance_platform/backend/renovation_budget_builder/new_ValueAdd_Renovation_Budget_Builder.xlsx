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 Database" sheetId="3" state="visible" r:id="rId3"/>
    <sheet xmlns:r="http://schemas.openxmlformats.org/officeDocument/2006/relationships" name="Unit-Level Budget" sheetId="4" state="visible" r:id="rId4"/>
    <sheet xmlns:r="http://schemas.openxmlformats.org/officeDocument/2006/relationships" name="Renovation Pha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0.0"/>
    <numFmt numFmtId="168" formatCode="mm/dd/yyyy"/>
  </numFmts>
  <fonts count="15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1"/>
    </font>
    <font>
      <b val="1"/>
      <color rgb="00FFFFFF"/>
      <sz val="11"/>
    </font>
    <font>
      <b val="1"/>
      <sz val="11"/>
    </font>
    <font>
      <color rgb="00008000"/>
      <sz val="11"/>
    </font>
    <font>
      <sz val="11"/>
    </font>
    <font>
      <color rgb="00000000"/>
      <sz val="11"/>
    </font>
    <font>
      <b val="1"/>
      <color rgb="001F4E78"/>
      <sz val="16"/>
    </font>
    <font>
      <i val="1"/>
      <color rgb="000000FF"/>
      <sz val="10"/>
    </font>
    <font>
      <color rgb="000000FF"/>
      <sz val="11"/>
    </font>
    <font>
      <i val="1"/>
      <sz val="10"/>
    </font>
    <font>
      <b val="1"/>
      <sz val="12"/>
    </font>
    <font>
      <i val="1"/>
      <sz val="9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4" fillId="3" borderId="0" pivotButton="0" quotePrefix="0" xfId="0"/>
    <xf numFmtId="166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" fontId="10" fillId="0" borderId="0" pivotButton="0" quotePrefix="0" xfId="0"/>
    <xf numFmtId="164" fontId="10" fillId="0" borderId="0" pivotButton="0" quotePrefix="0" xfId="0"/>
    <xf numFmtId="166" fontId="10" fillId="0" borderId="0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center"/>
    </xf>
    <xf numFmtId="0" fontId="12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5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10" fillId="0" borderId="1" pivotButton="0" quotePrefix="0" xfId="0"/>
    <xf numFmtId="164" fontId="7" fillId="0" borderId="1" pivotButton="0" quotePrefix="0" xfId="0"/>
    <xf numFmtId="1" fontId="7" fillId="0" borderId="1" applyAlignment="1" pivotButton="0" quotePrefix="0" xfId="0">
      <alignment horizontal="center"/>
    </xf>
    <xf numFmtId="168" fontId="7" fillId="0" borderId="1" pivotButton="0" quotePrefix="0" xfId="0"/>
    <xf numFmtId="0" fontId="4" fillId="4" borderId="0" pivotButton="0" quotePrefix="0" xfId="0"/>
    <xf numFmtId="0" fontId="13" fillId="0" borderId="0" pivotButton="0" quotePrefix="0" xfId="0"/>
    <xf numFmtId="165" fontId="7" fillId="0" borderId="0" pivotButton="0" quotePrefix="0" xfId="0"/>
    <xf numFmtId="0" fontId="14" fillId="2" borderId="0" pivotButton="0" quotePrefix="0" xfId="0"/>
    <xf numFmtId="164" fontId="12" fillId="5" borderId="0" pivotButton="0" quotePrefix="0" xfId="0"/>
    <xf numFmtId="1" fontId="5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1" fontId="4" fillId="4" borderId="1" pivotButton="0" quotePrefix="0" xfId="0"/>
    <xf numFmtId="164" fontId="4" fillId="4" borderId="1" pivotButton="0" quotePrefix="0" xfId="0"/>
    <xf numFmtId="164" fontId="4" fillId="5" borderId="1" pivotButton="0" quotePrefix="0" xfId="0"/>
    <xf numFmtId="164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VALUE-ADD RENOVATION BUDGET</t>
        </is>
      </c>
    </row>
    <row r="2">
      <c r="A2" s="2" t="inlineStr">
        <is>
          <t>Comprehensive Cost Planning &amp; ROI Analysis</t>
        </is>
      </c>
    </row>
    <row r="4">
      <c r="A4" s="3" t="inlineStr">
        <is>
          <t>PROPERTY OVERVIEW</t>
        </is>
      </c>
    </row>
    <row r="5">
      <c r="A5" s="4" t="inlineStr">
        <is>
          <t>Property Name:</t>
        </is>
      </c>
      <c r="B5" s="5">
        <f>Inputs!B2</f>
        <v/>
      </c>
    </row>
    <row r="6">
      <c r="A6" s="4" t="inlineStr">
        <is>
          <t>Address:</t>
        </is>
      </c>
      <c r="B6" s="5">
        <f>Inputs!B3</f>
        <v/>
      </c>
    </row>
    <row r="7">
      <c r="A7" s="4" t="inlineStr">
        <is>
          <t>Total Units:</t>
        </is>
      </c>
      <c r="B7" s="5">
        <f>Inputs!B4</f>
        <v/>
      </c>
    </row>
    <row r="8">
      <c r="A8" s="4" t="inlineStr">
        <is>
          <t>Building Class:</t>
        </is>
      </c>
      <c r="B8" s="5">
        <f>Inputs!B5</f>
        <v/>
      </c>
    </row>
    <row r="9">
      <c r="A9" s="4" t="inlineStr">
        <is>
          <t>Average Unit Size (SF):</t>
        </is>
      </c>
      <c r="B9" s="5">
        <f>Inputs!B6</f>
        <v/>
      </c>
    </row>
    <row r="11">
      <c r="A11" s="3" t="inlineStr">
        <is>
          <t>TOTAL RENOVATION BUDGET</t>
        </is>
      </c>
    </row>
    <row r="12">
      <c r="A12" s="4" t="inlineStr">
        <is>
          <t>Total Renovation Cost:</t>
        </is>
      </c>
      <c r="B12" s="6">
        <f>'Unit-Level Budget'!C100</f>
        <v/>
      </c>
    </row>
    <row r="13">
      <c r="A13" s="4" t="inlineStr">
        <is>
          <t>Cost per Unit:</t>
        </is>
      </c>
      <c r="B13" s="6">
        <f>'Unit-Level Budget'!C101</f>
        <v/>
      </c>
    </row>
    <row r="14">
      <c r="A14" s="4" t="inlineStr">
        <is>
          <t>Cost per SF:</t>
        </is>
      </c>
      <c r="B14" s="7">
        <f>'Unit-Level Budget'!C102</f>
        <v/>
      </c>
    </row>
    <row r="15">
      <c r="A15" s="4" t="inlineStr">
        <is>
          <t>Contingency Reserve (10%):</t>
        </is>
      </c>
      <c r="B15" s="6">
        <f>'Unit-Level Budget'!C103</f>
        <v/>
      </c>
    </row>
    <row r="16">
      <c r="A16" s="4" t="inlineStr">
        <is>
          <t>All-In Budget:</t>
        </is>
      </c>
      <c r="B16" s="6">
        <f>'Unit-Level Budget'!C104</f>
        <v/>
      </c>
    </row>
    <row r="18">
      <c r="A18" s="3" t="inlineStr">
        <is>
          <t>BUDGET BREAKDOWN BY CATEGORY</t>
        </is>
      </c>
    </row>
    <row r="19">
      <c r="A19" s="8" t="inlineStr">
        <is>
          <t>Category</t>
        </is>
      </c>
      <c r="B19" s="8" t="inlineStr">
        <is>
          <t>Total Cost</t>
        </is>
      </c>
      <c r="C19" s="8" t="inlineStr">
        <is>
          <t>% of Total</t>
        </is>
      </c>
      <c r="D19" s="8" t="inlineStr">
        <is>
          <t>Cost/Unit</t>
        </is>
      </c>
    </row>
    <row r="20">
      <c r="A20" t="inlineStr">
        <is>
          <t>Kitchen Renovations</t>
        </is>
      </c>
      <c r="B20" s="6">
        <f>'Unit-Level Budget'!C10</f>
        <v/>
      </c>
      <c r="C20" s="9">
        <f>'Unit-Level Budget'!D10</f>
        <v/>
      </c>
      <c r="D20" s="6">
        <f>'Unit-Level Budget'!E10</f>
        <v/>
      </c>
    </row>
    <row r="21">
      <c r="A21" t="inlineStr">
        <is>
          <t>Bathroom Renovations</t>
        </is>
      </c>
      <c r="B21" s="6">
        <f>'Unit-Level Budget'!C20</f>
        <v/>
      </c>
      <c r="C21" s="9">
        <f>'Unit-Level Budget'!D20</f>
        <v/>
      </c>
      <c r="D21" s="6">
        <f>'Unit-Level Budget'!E20</f>
        <v/>
      </c>
    </row>
    <row r="22">
      <c r="A22" t="inlineStr">
        <is>
          <t>Flooring</t>
        </is>
      </c>
      <c r="B22" s="6">
        <f>'Unit-Level Budget'!C30</f>
        <v/>
      </c>
      <c r="C22" s="9">
        <f>'Unit-Level Budget'!D30</f>
        <v/>
      </c>
      <c r="D22" s="6">
        <f>'Unit-Level Budget'!E30</f>
        <v/>
      </c>
    </row>
    <row r="23">
      <c r="A23" t="inlineStr">
        <is>
          <t>Paint &amp; Finishes</t>
        </is>
      </c>
      <c r="B23" s="6">
        <f>'Unit-Level Budget'!C40</f>
        <v/>
      </c>
      <c r="C23" s="9">
        <f>'Unit-Level Budget'!D40</f>
        <v/>
      </c>
      <c r="D23" s="6">
        <f>'Unit-Level Budget'!E40</f>
        <v/>
      </c>
    </row>
    <row r="24">
      <c r="A24" t="inlineStr">
        <is>
          <t>Appliances &amp; Fixtures</t>
        </is>
      </c>
      <c r="B24" s="6">
        <f>'Unit-Level Budget'!C50</f>
        <v/>
      </c>
      <c r="C24" s="9">
        <f>'Unit-Level Budget'!D50</f>
        <v/>
      </c>
      <c r="D24" s="6">
        <f>'Unit-Level Budget'!E50</f>
        <v/>
      </c>
    </row>
    <row r="25">
      <c r="A25" t="inlineStr">
        <is>
          <t>Exterior Improvements</t>
        </is>
      </c>
      <c r="B25" s="6">
        <f>'Unit-Level Budget'!C60</f>
        <v/>
      </c>
      <c r="C25" s="9">
        <f>'Unit-Level Budget'!D60</f>
        <v/>
      </c>
      <c r="D25" s="6">
        <f>'Unit-Level Budget'!E60</f>
        <v/>
      </c>
    </row>
    <row r="26">
      <c r="A26" t="inlineStr">
        <is>
          <t>Common Areas</t>
        </is>
      </c>
      <c r="B26" s="6">
        <f>'Unit-Level Budget'!C70</f>
        <v/>
      </c>
      <c r="C26" s="9">
        <f>'Unit-Level Budget'!D70</f>
        <v/>
      </c>
      <c r="D26" s="6">
        <f>'Unit-Level Budget'!E70</f>
        <v/>
      </c>
    </row>
    <row r="29">
      <c r="A29" s="3" t="inlineStr">
        <is>
          <t>VALUE CREATION &amp; ROI</t>
        </is>
      </c>
    </row>
    <row r="31">
      <c r="A31" s="10" t="inlineStr">
        <is>
          <t>Current Avg Monthly Rent:</t>
        </is>
      </c>
      <c r="B31" s="6">
        <f>Inputs!B10</f>
        <v/>
      </c>
    </row>
    <row r="32">
      <c r="A32" s="10" t="inlineStr">
        <is>
          <t>Pro Forma Monthly Rent:</t>
        </is>
      </c>
      <c r="B32" s="6">
        <f>Inputs!B11</f>
        <v/>
      </c>
    </row>
    <row r="33">
      <c r="A33" s="10" t="inlineStr">
        <is>
          <t>Monthly Rent Increase:</t>
        </is>
      </c>
      <c r="B33" s="11">
        <f>B31-B30</f>
        <v/>
      </c>
    </row>
    <row r="34">
      <c r="A34" s="10" t="inlineStr">
        <is>
          <t>Annual Rent Increase (per unit):</t>
        </is>
      </c>
      <c r="B34" s="11">
        <f>B32*12</f>
        <v/>
      </c>
    </row>
    <row r="35">
      <c r="A35" s="10" t="inlineStr">
        <is>
          <t>Total Annual Revenue Increase:</t>
        </is>
      </c>
      <c r="B35" s="6">
        <f>B33*Inputs!B4</f>
        <v/>
      </c>
    </row>
    <row r="37">
      <c r="A37" s="10" t="inlineStr">
        <is>
          <t>NOI Increase (60% margin):</t>
        </is>
      </c>
      <c r="B37" s="11">
        <f>B34*0.6</f>
        <v/>
      </c>
    </row>
    <row r="38">
      <c r="A38" s="10" t="inlineStr">
        <is>
          <t>Exit Cap Rate:</t>
        </is>
      </c>
      <c r="B38" s="9">
        <f>Inputs!B15</f>
        <v/>
      </c>
    </row>
    <row r="39">
      <c r="A39" s="4" t="inlineStr">
        <is>
          <t>Property Value Creation:</t>
        </is>
      </c>
      <c r="B39" s="11">
        <f>B36/B37</f>
        <v/>
      </c>
    </row>
    <row r="41">
      <c r="A41" s="10" t="inlineStr">
        <is>
          <t>Total Renovation Investment:</t>
        </is>
      </c>
      <c r="B41" s="11">
        <f>B15</f>
        <v/>
      </c>
    </row>
    <row r="42">
      <c r="A42" s="4" t="inlineStr">
        <is>
          <t>Value Creation/Investment (ROI):</t>
        </is>
      </c>
      <c r="B42" s="12">
        <f>B38/B40</f>
        <v/>
      </c>
    </row>
    <row r="43">
      <c r="A43" s="4" t="inlineStr">
        <is>
          <t>Payback Period (years):</t>
        </is>
      </c>
      <c r="B43" s="13">
        <f>B40/B36</f>
        <v/>
      </c>
    </row>
  </sheetData>
  <mergeCells count="6">
    <mergeCell ref="A1:D1"/>
    <mergeCell ref="A18:D18"/>
    <mergeCell ref="A4:D4"/>
    <mergeCell ref="A29:D29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4" t="inlineStr">
        <is>
          <t>PROPERTY &amp; RENOVATION INPUTS</t>
        </is>
      </c>
    </row>
    <row r="2">
      <c r="A2" s="15" t="inlineStr">
        <is>
          <t>All BLUE cells are inputs you can modify</t>
        </is>
      </c>
    </row>
    <row r="4">
      <c r="A4" s="3" t="inlineStr">
        <is>
          <t>PROPERTY INFORMATION</t>
        </is>
      </c>
    </row>
    <row r="5">
      <c r="A5" t="inlineStr">
        <is>
          <t>Property Name:</t>
        </is>
      </c>
      <c r="B5" s="16" t="inlineStr">
        <is>
          <t>Maple Gardens Apartments</t>
        </is>
      </c>
      <c r="C5" t="inlineStr">
        <is>
          <t>Enter property name</t>
        </is>
      </c>
    </row>
    <row r="6">
      <c r="A6" t="inlineStr">
        <is>
          <t>Address:</t>
        </is>
      </c>
      <c r="B6" s="16" t="inlineStr">
        <is>
          <t>123 Main Street</t>
        </is>
      </c>
    </row>
    <row r="7">
      <c r="A7" t="inlineStr">
        <is>
          <t>Total Units:</t>
        </is>
      </c>
      <c r="B7" s="17" t="n">
        <v>50</v>
      </c>
      <c r="C7" t="inlineStr">
        <is>
          <t>Number of apartment units</t>
        </is>
      </c>
    </row>
    <row r="8">
      <c r="A8" t="inlineStr">
        <is>
          <t>Building Class:</t>
        </is>
      </c>
      <c r="B8" s="16" t="inlineStr">
        <is>
          <t>Class B</t>
        </is>
      </c>
      <c r="C8" t="inlineStr">
        <is>
          <t>Class A, B, or C</t>
        </is>
      </c>
    </row>
    <row r="9">
      <c r="A9" t="inlineStr">
        <is>
          <t>Average Unit Size (SF):</t>
        </is>
      </c>
      <c r="B9" s="17" t="n">
        <v>850</v>
      </c>
    </row>
    <row r="11">
      <c r="A11" s="3" t="inlineStr">
        <is>
          <t>CURRENT &amp; PRO FORMA RENTS</t>
        </is>
      </c>
    </row>
    <row r="12">
      <c r="A12" t="inlineStr">
        <is>
          <t>Current Avg Monthly Rent:</t>
        </is>
      </c>
      <c r="B12" s="18" t="n">
        <v>1800</v>
      </c>
      <c r="C12" t="inlineStr">
        <is>
          <t>Current in-place rent per unit</t>
        </is>
      </c>
    </row>
    <row r="13">
      <c r="A13" t="inlineStr">
        <is>
          <t>Pro Forma Monthly Rent (Post-Reno):</t>
        </is>
      </c>
      <c r="B13" s="18" t="n">
        <v>2150</v>
      </c>
      <c r="C13" t="inlineStr">
        <is>
          <t>Expected rent after renovations</t>
        </is>
      </c>
    </row>
    <row r="14">
      <c r="A14" t="inlineStr">
        <is>
          <t>Monthly Rent Increase:</t>
        </is>
      </c>
      <c r="B14" s="11">
        <f>B11-B10</f>
        <v/>
      </c>
      <c r="C14" t="inlineStr">
        <is>
          <t>Calculated automatically</t>
        </is>
      </c>
    </row>
    <row r="16">
      <c r="A16" s="3" t="inlineStr">
        <is>
          <t>VALUE CREATION ASSUMPTIONS</t>
        </is>
      </c>
    </row>
    <row r="17">
      <c r="A17" t="inlineStr">
        <is>
          <t>Exit Cap Rate:</t>
        </is>
      </c>
      <c r="B17" s="19" t="n">
        <v>0.055</v>
      </c>
      <c r="C17" t="inlineStr">
        <is>
          <t>Conservative cap rate for exit valuation</t>
        </is>
      </c>
    </row>
    <row r="18">
      <c r="A18" t="inlineStr">
        <is>
          <t>NOI Margin:</t>
        </is>
      </c>
      <c r="B18" s="19" t="n">
        <v>0.6</v>
      </c>
      <c r="C18" t="inlineStr">
        <is>
          <t>60% is typical for multifamily (40% OpEx)</t>
        </is>
      </c>
    </row>
    <row r="20">
      <c r="A20" s="3" t="inlineStr">
        <is>
          <t>RENOVATION TIMELINE &amp; PHASING</t>
        </is>
      </c>
    </row>
    <row r="21">
      <c r="A21" t="inlineStr">
        <is>
          <t>Total Project Duration (months):</t>
        </is>
      </c>
      <c r="B21" s="17" t="n">
        <v>18</v>
      </c>
      <c r="C21" t="inlineStr">
        <is>
          <t>Total time for full property renovation</t>
        </is>
      </c>
    </row>
    <row r="22">
      <c r="A22" t="inlineStr">
        <is>
          <t>Units per Phase:</t>
        </is>
      </c>
      <c r="B22" s="17" t="n">
        <v>10</v>
      </c>
      <c r="C22" t="inlineStr">
        <is>
          <t>Units renovated per phase</t>
        </is>
      </c>
    </row>
    <row r="23">
      <c r="A23" t="inlineStr">
        <is>
          <t>Days per Unit Renovation:</t>
        </is>
      </c>
      <c r="B23" s="17" t="n">
        <v>21</v>
      </c>
      <c r="C23" t="inlineStr">
        <is>
          <t>Typical 3 weeks per unit</t>
        </is>
      </c>
    </row>
    <row r="24">
      <c r="A24" t="inlineStr">
        <is>
          <t>Lost Rent per Unit during Reno (days):</t>
        </is>
      </c>
      <c r="B24" s="17" t="n">
        <v>30</v>
      </c>
      <c r="C24" t="inlineStr">
        <is>
          <t>Vacancy days per unit</t>
        </is>
      </c>
    </row>
    <row r="26">
      <c r="A26" s="3" t="inlineStr">
        <is>
          <t>HOLDING COSTS DURING RENOVATION</t>
        </is>
      </c>
    </row>
    <row r="27">
      <c r="A27" t="inlineStr">
        <is>
          <t>Monthly Debt Service (if applicable):</t>
        </is>
      </c>
      <c r="B27" s="18" t="n">
        <v>25000</v>
      </c>
      <c r="C27" t="inlineStr">
        <is>
          <t>Mortgage payment during renovation</t>
        </is>
      </c>
    </row>
    <row r="28">
      <c r="A28" t="inlineStr">
        <is>
          <t>Monthly Operating Expenses (reduced):</t>
        </is>
      </c>
      <c r="B28" s="18" t="n">
        <v>15000</v>
      </c>
      <c r="C28" t="inlineStr">
        <is>
          <t>Utilities, insurance, etc.</t>
        </is>
      </c>
    </row>
    <row r="29">
      <c r="A29" t="inlineStr">
        <is>
          <t>Monthly Management Fee (on occupied units):</t>
        </is>
      </c>
      <c r="B29" s="18" t="n">
        <v>3000</v>
      </c>
      <c r="C29" t="inlineStr">
        <is>
          <t>Property management</t>
        </is>
      </c>
    </row>
  </sheetData>
  <mergeCells count="7">
    <mergeCell ref="A11:C11"/>
    <mergeCell ref="A1:C1"/>
    <mergeCell ref="A16:C16"/>
    <mergeCell ref="A26:C26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4" t="inlineStr">
        <is>
          <t>RENOVATION COST DATABASE</t>
        </is>
      </c>
    </row>
    <row r="2">
      <c r="A2" s="20" t="inlineStr">
        <is>
          <t>Pre-built cost ranges by building class - Use as reference for your estimates</t>
        </is>
      </c>
    </row>
    <row r="4">
      <c r="A4" s="21" t="inlineStr">
        <is>
          <t>Item</t>
        </is>
      </c>
      <c r="B4" s="21" t="inlineStr">
        <is>
          <t>Class A</t>
        </is>
      </c>
      <c r="C4" s="21" t="inlineStr">
        <is>
          <t>Class B</t>
        </is>
      </c>
      <c r="D4" s="21" t="inlineStr">
        <is>
          <t>Class C</t>
        </is>
      </c>
      <c r="E4" s="21" t="inlineStr">
        <is>
          <t>Unit</t>
        </is>
      </c>
      <c r="F4" s="21" t="inlineStr">
        <is>
          <t>Notes</t>
        </is>
      </c>
    </row>
    <row r="5">
      <c r="A5" s="22" t="inlineStr">
        <is>
          <t>KITCHEN RENOVATIONS</t>
        </is>
      </c>
    </row>
    <row r="6">
      <c r="A6" t="inlineStr">
        <is>
          <t>Cabinet Refacing (paint)</t>
        </is>
      </c>
      <c r="B6" s="23" t="n">
        <v>3000</v>
      </c>
      <c r="C6" s="23" t="n">
        <v>2500</v>
      </c>
      <c r="D6" s="23" t="n">
        <v>2000</v>
      </c>
      <c r="E6" t="inlineStr">
        <is>
          <t>per kitchen</t>
        </is>
      </c>
      <c r="F6" t="inlineStr">
        <is>
          <t>Paint existing cabinets</t>
        </is>
      </c>
    </row>
    <row r="7">
      <c r="A7" t="inlineStr">
        <is>
          <t>Cabinet Replacement - Stock</t>
        </is>
      </c>
      <c r="B7" s="23" t="n">
        <v>6500</v>
      </c>
      <c r="C7" s="23" t="n">
        <v>5000</v>
      </c>
      <c r="D7" s="23" t="n">
        <v>4000</v>
      </c>
      <c r="E7" t="inlineStr">
        <is>
          <t>per kitchen</t>
        </is>
      </c>
      <c r="F7" t="inlineStr">
        <is>
          <t>Stock cabinets from Home Depot/Lowes</t>
        </is>
      </c>
    </row>
    <row r="8">
      <c r="A8" t="inlineStr">
        <is>
          <t>Cabinet Replacement - Semi-Custom</t>
        </is>
      </c>
      <c r="B8" s="23" t="n">
        <v>10000</v>
      </c>
      <c r="C8" s="23" t="n">
        <v>7500</v>
      </c>
      <c r="D8" s="23" t="n">
        <v>5500</v>
      </c>
      <c r="E8" t="inlineStr">
        <is>
          <t>per kitchen</t>
        </is>
      </c>
      <c r="F8" t="inlineStr">
        <is>
          <t>Better quality, more options</t>
        </is>
      </c>
    </row>
    <row r="9">
      <c r="A9" t="inlineStr">
        <is>
          <t>Countertops - Laminate</t>
        </is>
      </c>
      <c r="B9" s="23" t="n">
        <v>1500</v>
      </c>
      <c r="C9" s="23" t="n">
        <v>1200</v>
      </c>
      <c r="D9" s="23" t="n">
        <v>1000</v>
      </c>
      <c r="E9" t="inlineStr">
        <is>
          <t>per kitchen</t>
        </is>
      </c>
      <c r="F9" t="inlineStr">
        <is>
          <t>Budget option</t>
        </is>
      </c>
    </row>
    <row r="10">
      <c r="A10" t="inlineStr">
        <is>
          <t>Countertops - Granite</t>
        </is>
      </c>
      <c r="B10" s="23" t="n">
        <v>3000</v>
      </c>
      <c r="C10" s="23" t="n">
        <v>2500</v>
      </c>
      <c r="D10" s="23" t="n">
        <v>2000</v>
      </c>
      <c r="E10" t="inlineStr">
        <is>
          <t>per kitchen</t>
        </is>
      </c>
      <c r="F10" t="inlineStr">
        <is>
          <t>Mid-grade granite</t>
        </is>
      </c>
    </row>
    <row r="11">
      <c r="A11" t="inlineStr">
        <is>
          <t>Countertops - Quartz</t>
        </is>
      </c>
      <c r="B11" s="23" t="n">
        <v>4000</v>
      </c>
      <c r="C11" s="23" t="n">
        <v>3200</v>
      </c>
      <c r="D11" s="23" t="n">
        <v>2500</v>
      </c>
      <c r="E11" t="inlineStr">
        <is>
          <t>per kitchen</t>
        </is>
      </c>
      <c r="F11" t="inlineStr">
        <is>
          <t>Premium option</t>
        </is>
      </c>
    </row>
    <row r="12">
      <c r="A12" t="inlineStr">
        <is>
          <t>Appliance Package - Basic</t>
        </is>
      </c>
      <c r="B12" s="23" t="n">
        <v>2000</v>
      </c>
      <c r="C12" s="23" t="n">
        <v>1800</v>
      </c>
      <c r="D12" s="23" t="n">
        <v>1500</v>
      </c>
      <c r="E12" t="inlineStr">
        <is>
          <t>per kitchen</t>
        </is>
      </c>
      <c r="F12" t="inlineStr">
        <is>
          <t>White, basic features</t>
        </is>
      </c>
    </row>
    <row r="13">
      <c r="A13" t="inlineStr">
        <is>
          <t>Appliance Package - Stainless</t>
        </is>
      </c>
      <c r="B13" s="23" t="n">
        <v>3500</v>
      </c>
      <c r="C13" s="23" t="n">
        <v>2800</v>
      </c>
      <c r="D13" s="23" t="n">
        <v>2200</v>
      </c>
      <c r="E13" t="inlineStr">
        <is>
          <t>per kitchen</t>
        </is>
      </c>
      <c r="F13" t="inlineStr">
        <is>
          <t>Stainless steel mid-grade</t>
        </is>
      </c>
    </row>
    <row r="14">
      <c r="A14" t="inlineStr">
        <is>
          <t>Appliance Package - Premium</t>
        </is>
      </c>
      <c r="B14" s="23" t="n">
        <v>5000</v>
      </c>
      <c r="C14" s="23" t="n">
        <v>4000</v>
      </c>
      <c r="D14" s="23" t="n">
        <v>3000</v>
      </c>
      <c r="E14" t="inlineStr">
        <is>
          <t>per kitchen</t>
        </is>
      </c>
      <c r="F14" t="inlineStr">
        <is>
          <t>High-end brands</t>
        </is>
      </c>
    </row>
    <row r="15">
      <c r="A15" t="inlineStr">
        <is>
          <t>Sink &amp; Faucet</t>
        </is>
      </c>
      <c r="B15" s="23" t="n">
        <v>800</v>
      </c>
      <c r="C15" s="23" t="n">
        <v>600</v>
      </c>
      <c r="D15" s="23" t="n">
        <v>450</v>
      </c>
      <c r="E15" t="inlineStr">
        <is>
          <t>per kitchen</t>
        </is>
      </c>
      <c r="F15" t="inlineStr">
        <is>
          <t>Undermount sink + modern faucet</t>
        </is>
      </c>
    </row>
    <row r="16">
      <c r="A16" t="inlineStr">
        <is>
          <t>Backsplash - Ceramic Tile</t>
        </is>
      </c>
      <c r="B16" s="23" t="n">
        <v>1200</v>
      </c>
      <c r="C16" s="23" t="n">
        <v>1000</v>
      </c>
      <c r="D16" s="23" t="n">
        <v>800</v>
      </c>
      <c r="E16" t="inlineStr">
        <is>
          <t>per kitchen</t>
        </is>
      </c>
      <c r="F16" t="inlineStr">
        <is>
          <t>Standard ceramic</t>
        </is>
      </c>
    </row>
    <row r="17">
      <c r="A17" t="inlineStr">
        <is>
          <t>Backsplash - Subway Tile</t>
        </is>
      </c>
      <c r="B17" s="23" t="n">
        <v>1500</v>
      </c>
      <c r="C17" s="23" t="n">
        <v>1200</v>
      </c>
      <c r="D17" s="23" t="n">
        <v>900</v>
      </c>
      <c r="E17" t="inlineStr">
        <is>
          <t>per kitchen</t>
        </is>
      </c>
      <c r="F17" t="inlineStr">
        <is>
          <t>Popular white subway</t>
        </is>
      </c>
    </row>
    <row r="18">
      <c r="A18" t="inlineStr">
        <is>
          <t>Backsplash - Glass/Mosaic</t>
        </is>
      </c>
      <c r="B18" s="23" t="n">
        <v>2000</v>
      </c>
      <c r="C18" s="23" t="n">
        <v>1500</v>
      </c>
      <c r="D18" s="23" t="n">
        <v>1100</v>
      </c>
      <c r="E18" t="inlineStr">
        <is>
          <t>per kitchen</t>
        </is>
      </c>
      <c r="F18" t="inlineStr">
        <is>
          <t>Premium glass tile</t>
        </is>
      </c>
    </row>
    <row r="19">
      <c r="A19" t="inlineStr">
        <is>
          <t>Lighting - Under Cabinet LED</t>
        </is>
      </c>
      <c r="B19" s="23" t="n">
        <v>400</v>
      </c>
      <c r="C19" s="23" t="n">
        <v>300</v>
      </c>
      <c r="D19" s="23" t="n">
        <v>250</v>
      </c>
      <c r="E19" t="inlineStr">
        <is>
          <t>per kitchen</t>
        </is>
      </c>
      <c r="F19" t="inlineStr">
        <is>
          <t>Under cabinet lighting</t>
        </is>
      </c>
    </row>
    <row r="20">
      <c r="A20" t="inlineStr">
        <is>
          <t>Lighting - Pendant/Ceiling</t>
        </is>
      </c>
      <c r="B20" s="23" t="n">
        <v>500</v>
      </c>
      <c r="C20" s="23" t="n">
        <v>400</v>
      </c>
      <c r="D20" s="23" t="n">
        <v>300</v>
      </c>
      <c r="E20" t="inlineStr">
        <is>
          <t>per kitchen</t>
        </is>
      </c>
      <c r="F20" t="inlineStr">
        <is>
          <t>Modern fixtures</t>
        </is>
      </c>
    </row>
    <row r="22">
      <c r="A22" s="22" t="inlineStr">
        <is>
          <t>BATHROOM RENOVATIONS</t>
        </is>
      </c>
    </row>
    <row r="23">
      <c r="A23" t="inlineStr">
        <is>
          <t>Vanity - Stock (36")</t>
        </is>
      </c>
      <c r="B23" s="23" t="n">
        <v>800</v>
      </c>
      <c r="C23" s="23" t="n">
        <v>600</v>
      </c>
      <c r="D23" s="23" t="n">
        <v>450</v>
      </c>
      <c r="E23" t="inlineStr">
        <is>
          <t>per bath</t>
        </is>
      </c>
      <c r="F23" t="inlineStr">
        <is>
          <t>Basic vanity with sink</t>
        </is>
      </c>
    </row>
    <row r="24">
      <c r="A24" t="inlineStr">
        <is>
          <t>Vanity - Semi-Custom (36")</t>
        </is>
      </c>
      <c r="B24" s="23" t="n">
        <v>1500</v>
      </c>
      <c r="C24" s="23" t="n">
        <v>1200</v>
      </c>
      <c r="D24" s="23" t="n">
        <v>900</v>
      </c>
      <c r="E24" t="inlineStr">
        <is>
          <t>per bath</t>
        </is>
      </c>
      <c r="F24" t="inlineStr">
        <is>
          <t>Better quality, more styles</t>
        </is>
      </c>
    </row>
    <row r="25">
      <c r="A25" t="inlineStr">
        <is>
          <t>Vanity - Custom (36")</t>
        </is>
      </c>
      <c r="B25" s="23" t="n">
        <v>2500</v>
      </c>
      <c r="C25" s="23" t="n">
        <v>2000</v>
      </c>
      <c r="D25" s="23" t="n">
        <v>1500</v>
      </c>
      <c r="E25" t="inlineStr">
        <is>
          <t>per bath</t>
        </is>
      </c>
      <c r="F25" t="inlineStr">
        <is>
          <t>Premium custom vanity</t>
        </is>
      </c>
    </row>
    <row r="26">
      <c r="A26" t="inlineStr">
        <is>
          <t>Toilet - Standard</t>
        </is>
      </c>
      <c r="B26" s="23" t="n">
        <v>250</v>
      </c>
      <c r="C26" s="23" t="n">
        <v>200</v>
      </c>
      <c r="D26" s="23" t="n">
        <v>150</v>
      </c>
      <c r="E26" t="inlineStr">
        <is>
          <t>per bath</t>
        </is>
      </c>
      <c r="F26" t="inlineStr">
        <is>
          <t>Basic commode</t>
        </is>
      </c>
    </row>
    <row r="27">
      <c r="A27" t="inlineStr">
        <is>
          <t>Toilet - Comfort Height</t>
        </is>
      </c>
      <c r="B27" s="23" t="n">
        <v>400</v>
      </c>
      <c r="C27" s="23" t="n">
        <v>350</v>
      </c>
      <c r="D27" s="23" t="n">
        <v>280</v>
      </c>
      <c r="E27" t="inlineStr">
        <is>
          <t>per bath</t>
        </is>
      </c>
      <c r="F27" t="inlineStr">
        <is>
          <t>ADA height</t>
        </is>
      </c>
    </row>
    <row r="28">
      <c r="A28" t="inlineStr">
        <is>
          <t>Toilet - Dual Flush</t>
        </is>
      </c>
      <c r="B28" s="23" t="n">
        <v>500</v>
      </c>
      <c r="C28" s="23" t="n">
        <v>400</v>
      </c>
      <c r="D28" s="23" t="n">
        <v>320</v>
      </c>
      <c r="E28" t="inlineStr">
        <is>
          <t>per bath</t>
        </is>
      </c>
      <c r="F28" t="inlineStr">
        <is>
          <t>Water-saving dual flush</t>
        </is>
      </c>
    </row>
    <row r="29">
      <c r="A29" t="inlineStr">
        <is>
          <t>Tub Refinishing</t>
        </is>
      </c>
      <c r="B29" s="23" t="n">
        <v>500</v>
      </c>
      <c r="C29" s="23" t="n">
        <v>450</v>
      </c>
      <c r="D29" s="23" t="n">
        <v>380</v>
      </c>
      <c r="E29" t="inlineStr">
        <is>
          <t>per bath</t>
        </is>
      </c>
      <c r="F29" t="inlineStr">
        <is>
          <t>Reglaze existing tub</t>
        </is>
      </c>
    </row>
    <row r="30">
      <c r="A30" t="inlineStr">
        <is>
          <t>Tub Replacement - Acrylic</t>
        </is>
      </c>
      <c r="B30" s="23" t="n">
        <v>1200</v>
      </c>
      <c r="C30" s="23" t="n">
        <v>1000</v>
      </c>
      <c r="D30" s="23" t="n">
        <v>800</v>
      </c>
      <c r="E30" t="inlineStr">
        <is>
          <t>per bath</t>
        </is>
      </c>
      <c r="F30" t="inlineStr">
        <is>
          <t>Standard 60" acrylic tub</t>
        </is>
      </c>
    </row>
    <row r="31">
      <c r="A31" t="inlineStr">
        <is>
          <t>Tub Replacement - Cast Iron</t>
        </is>
      </c>
      <c r="B31" s="23" t="n">
        <v>2000</v>
      </c>
      <c r="C31" s="23" t="n">
        <v>1600</v>
      </c>
      <c r="D31" s="23" t="n">
        <v>1200</v>
      </c>
      <c r="E31" t="inlineStr">
        <is>
          <t>per bath</t>
        </is>
      </c>
      <c r="F31" t="inlineStr">
        <is>
          <t>Premium cast iron</t>
        </is>
      </c>
    </row>
    <row r="32">
      <c r="A32" t="inlineStr">
        <is>
          <t>Shower - Fiberglass Insert</t>
        </is>
      </c>
      <c r="B32" s="23" t="n">
        <v>1500</v>
      </c>
      <c r="C32" s="23" t="n">
        <v>1200</v>
      </c>
      <c r="D32" s="23" t="n">
        <v>950</v>
      </c>
      <c r="E32" t="inlineStr">
        <is>
          <t>per shower</t>
        </is>
      </c>
      <c r="F32" t="inlineStr">
        <is>
          <t>Basic shower surround</t>
        </is>
      </c>
    </row>
    <row r="33">
      <c r="A33" t="inlineStr">
        <is>
          <t>Shower - Tile Surround</t>
        </is>
      </c>
      <c r="B33" s="23" t="n">
        <v>3000</v>
      </c>
      <c r="C33" s="23" t="n">
        <v>2400</v>
      </c>
      <c r="D33" s="23" t="n">
        <v>1800</v>
      </c>
      <c r="E33" t="inlineStr">
        <is>
          <t>per shower</t>
        </is>
      </c>
      <c r="F33" t="inlineStr">
        <is>
          <t>Ceramic tile shower</t>
        </is>
      </c>
    </row>
    <row r="34">
      <c r="A34" t="inlineStr">
        <is>
          <t>Shower - Premium Tile</t>
        </is>
      </c>
      <c r="B34" s="23" t="n">
        <v>4500</v>
      </c>
      <c r="C34" s="23" t="n">
        <v>3500</v>
      </c>
      <c r="D34" s="23" t="n">
        <v>2600</v>
      </c>
      <c r="E34" t="inlineStr">
        <is>
          <t>per shower</t>
        </is>
      </c>
      <c r="F34" t="inlineStr">
        <is>
          <t>Large format/designer tile</t>
        </is>
      </c>
    </row>
    <row r="35">
      <c r="A35" t="inlineStr">
        <is>
          <t>Floor Tile - Ceramic (SF)</t>
        </is>
      </c>
      <c r="B35" s="23" t="n">
        <v>8</v>
      </c>
      <c r="C35" s="23" t="n">
        <v>6</v>
      </c>
      <c r="D35" s="23" t="n">
        <v>5</v>
      </c>
      <c r="E35" t="inlineStr">
        <is>
          <t>per SF</t>
        </is>
      </c>
      <c r="F35" t="inlineStr">
        <is>
          <t>Labor + materials</t>
        </is>
      </c>
    </row>
    <row r="36">
      <c r="A36" t="inlineStr">
        <is>
          <t>Floor Tile - Porcelain (SF)</t>
        </is>
      </c>
      <c r="B36" s="23" t="n">
        <v>12</v>
      </c>
      <c r="C36" s="23" t="n">
        <v>10</v>
      </c>
      <c r="D36" s="23" t="n">
        <v>8</v>
      </c>
      <c r="E36" t="inlineStr">
        <is>
          <t>per SF</t>
        </is>
      </c>
      <c r="F36" t="inlineStr">
        <is>
          <t>Better quality porcelain</t>
        </is>
      </c>
    </row>
    <row r="37">
      <c r="A37" t="inlineStr">
        <is>
          <t>Floor Tile - Luxury (SF)</t>
        </is>
      </c>
      <c r="B37" s="23" t="n">
        <v>18</v>
      </c>
      <c r="C37" s="23" t="n">
        <v>15</v>
      </c>
      <c r="D37" s="23" t="n">
        <v>12</v>
      </c>
      <c r="E37" t="inlineStr">
        <is>
          <t>per SF</t>
        </is>
      </c>
      <c r="F37" t="inlineStr">
        <is>
          <t>Premium tile or stone</t>
        </is>
      </c>
    </row>
    <row r="38">
      <c r="A38" t="inlineStr">
        <is>
          <t>Fixtures &amp; Faucet Set</t>
        </is>
      </c>
      <c r="B38" s="23" t="n">
        <v>800</v>
      </c>
      <c r="C38" s="23" t="n">
        <v>600</v>
      </c>
      <c r="D38" s="23" t="n">
        <v>450</v>
      </c>
      <c r="E38" t="inlineStr">
        <is>
          <t>per bath</t>
        </is>
      </c>
      <c r="F38" t="inlineStr">
        <is>
          <t>All fixtures coordinated</t>
        </is>
      </c>
    </row>
    <row r="39">
      <c r="A39" t="inlineStr">
        <is>
          <t>Lighting &amp; Ventilation</t>
        </is>
      </c>
      <c r="B39" s="23" t="n">
        <v>600</v>
      </c>
      <c r="C39" s="23" t="n">
        <v>500</v>
      </c>
      <c r="D39" s="23" t="n">
        <v>400</v>
      </c>
      <c r="E39" t="inlineStr">
        <is>
          <t>per bath</t>
        </is>
      </c>
      <c r="F39" t="inlineStr">
        <is>
          <t>Vanity lights + exhaust fan</t>
        </is>
      </c>
    </row>
    <row r="40">
      <c r="A40" t="inlineStr">
        <is>
          <t>Mirror - Basic</t>
        </is>
      </c>
      <c r="B40" s="23" t="n">
        <v>150</v>
      </c>
      <c r="C40" s="23" t="n">
        <v>120</v>
      </c>
      <c r="D40" s="23" t="n">
        <v>100</v>
      </c>
      <c r="E40" t="inlineStr">
        <is>
          <t>per bath</t>
        </is>
      </c>
      <c r="F40" t="inlineStr">
        <is>
          <t>Standard frameless mirror</t>
        </is>
      </c>
    </row>
    <row r="41">
      <c r="A41" t="inlineStr">
        <is>
          <t>Mirror - Framed</t>
        </is>
      </c>
      <c r="B41" s="23" t="n">
        <v>300</v>
      </c>
      <c r="C41" s="23" t="n">
        <v>250</v>
      </c>
      <c r="D41" s="23" t="n">
        <v>200</v>
      </c>
      <c r="E41" t="inlineStr">
        <is>
          <t>per bath</t>
        </is>
      </c>
      <c r="F41" t="inlineStr">
        <is>
          <t>Decorative framed mirror</t>
        </is>
      </c>
    </row>
    <row r="43">
      <c r="A43" s="22" t="inlineStr">
        <is>
          <t>FLOORING</t>
        </is>
      </c>
    </row>
    <row r="44">
      <c r="A44" t="inlineStr">
        <is>
          <t>Carpet - Rental Grade</t>
        </is>
      </c>
      <c r="B44" s="24" t="n">
        <v>3</v>
      </c>
      <c r="C44" s="24" t="n">
        <v>2.5</v>
      </c>
      <c r="D44" s="24" t="n">
        <v>2</v>
      </c>
      <c r="E44" t="inlineStr">
        <is>
          <t>per SF</t>
        </is>
      </c>
      <c r="F44" t="inlineStr">
        <is>
          <t>Basic apartment carpet + pad</t>
        </is>
      </c>
    </row>
    <row r="45">
      <c r="A45" t="inlineStr">
        <is>
          <t>Carpet - Mid-Grade</t>
        </is>
      </c>
      <c r="B45" s="24" t="n">
        <v>5</v>
      </c>
      <c r="C45" s="24" t="n">
        <v>4</v>
      </c>
      <c r="D45" s="24" t="n">
        <v>3.5</v>
      </c>
      <c r="E45" t="inlineStr">
        <is>
          <t>per SF</t>
        </is>
      </c>
      <c r="F45" t="inlineStr">
        <is>
          <t>Better quality, 7-10 year life</t>
        </is>
      </c>
    </row>
    <row r="46">
      <c r="A46" t="inlineStr">
        <is>
          <t>Carpet - Premium</t>
        </is>
      </c>
      <c r="B46" s="24" t="n">
        <v>7</v>
      </c>
      <c r="C46" s="24" t="n">
        <v>6</v>
      </c>
      <c r="D46" s="24" t="n">
        <v>5</v>
      </c>
      <c r="E46" t="inlineStr">
        <is>
          <t>per SF</t>
        </is>
      </c>
      <c r="F46" t="inlineStr">
        <is>
          <t>Stain-resistant, 10-15 year life</t>
        </is>
      </c>
    </row>
    <row r="47">
      <c r="A47" t="inlineStr">
        <is>
          <t>Vinyl Plank (LVP) - Builder</t>
        </is>
      </c>
      <c r="B47" s="24" t="n">
        <v>4</v>
      </c>
      <c r="C47" s="24" t="n">
        <v>3.5</v>
      </c>
      <c r="D47" s="24" t="n">
        <v>3</v>
      </c>
      <c r="E47" t="inlineStr">
        <is>
          <t>per SF</t>
        </is>
      </c>
      <c r="F47" t="inlineStr">
        <is>
          <t>Basic LVP, thin wear layer</t>
        </is>
      </c>
    </row>
    <row r="48">
      <c r="A48" t="inlineStr">
        <is>
          <t>Vinyl Plank (LVP) - Mid-Grade</t>
        </is>
      </c>
      <c r="B48" s="24" t="n">
        <v>6</v>
      </c>
      <c r="C48" s="24" t="n">
        <v>5</v>
      </c>
      <c r="D48" s="24" t="n">
        <v>4.5</v>
      </c>
      <c r="E48" t="inlineStr">
        <is>
          <t>per SF</t>
        </is>
      </c>
      <c r="F48" t="inlineStr">
        <is>
          <t>20mil wear layer, waterproof</t>
        </is>
      </c>
    </row>
    <row r="49">
      <c r="A49" t="inlineStr">
        <is>
          <t>Vinyl Plank (LVP) - Premium</t>
        </is>
      </c>
      <c r="B49" s="24" t="n">
        <v>9</v>
      </c>
      <c r="C49" s="24" t="n">
        <v>7</v>
      </c>
      <c r="D49" s="24" t="n">
        <v>6</v>
      </c>
      <c r="E49" t="inlineStr">
        <is>
          <t>per SF</t>
        </is>
      </c>
      <c r="F49" t="inlineStr">
        <is>
          <t>Thick planks, enhanced visuals</t>
        </is>
      </c>
    </row>
    <row r="50">
      <c r="A50" t="inlineStr">
        <is>
          <t>Laminate - Basic</t>
        </is>
      </c>
      <c r="B50" s="24" t="n">
        <v>3.5</v>
      </c>
      <c r="C50" s="24" t="n">
        <v>3</v>
      </c>
      <c r="D50" s="24" t="n">
        <v>2.5</v>
      </c>
      <c r="E50" t="inlineStr">
        <is>
          <t>per SF</t>
        </is>
      </c>
      <c r="F50" t="inlineStr">
        <is>
          <t>Entry-level laminate</t>
        </is>
      </c>
    </row>
    <row r="51">
      <c r="A51" t="inlineStr">
        <is>
          <t>Laminate - Premium</t>
        </is>
      </c>
      <c r="B51" s="24" t="n">
        <v>6</v>
      </c>
      <c r="C51" s="24" t="n">
        <v>5</v>
      </c>
      <c r="D51" s="24" t="n">
        <v>4</v>
      </c>
      <c r="E51" t="inlineStr">
        <is>
          <t>per SF</t>
        </is>
      </c>
      <c r="F51" t="inlineStr">
        <is>
          <t>Better warranty, water-resistant</t>
        </is>
      </c>
    </row>
    <row r="52">
      <c r="A52" t="inlineStr">
        <is>
          <t>Hardwood - Pre-Finished</t>
        </is>
      </c>
      <c r="B52" s="24" t="n">
        <v>12</v>
      </c>
      <c r="C52" s="24" t="n">
        <v>10</v>
      </c>
      <c r="D52" s="24" t="n">
        <v>8</v>
      </c>
      <c r="E52" t="inlineStr">
        <is>
          <t>per SF</t>
        </is>
      </c>
      <c r="F52" t="inlineStr">
        <is>
          <t>Solid hardwood, factory finish</t>
        </is>
      </c>
    </row>
    <row r="53">
      <c r="A53" t="inlineStr">
        <is>
          <t>Hardwood - Engineered</t>
        </is>
      </c>
      <c r="B53" s="24" t="n">
        <v>9</v>
      </c>
      <c r="C53" s="24" t="n">
        <v>7.5</v>
      </c>
      <c r="D53" s="24" t="n">
        <v>6</v>
      </c>
      <c r="E53" t="inlineStr">
        <is>
          <t>per SF</t>
        </is>
      </c>
      <c r="F53" t="inlineStr">
        <is>
          <t>Engineered planks, more stable</t>
        </is>
      </c>
    </row>
    <row r="54">
      <c r="A54" t="inlineStr">
        <is>
          <t>Tile - Ceramic</t>
        </is>
      </c>
      <c r="B54" s="24" t="n">
        <v>8</v>
      </c>
      <c r="C54" s="24" t="n">
        <v>6.5</v>
      </c>
      <c r="D54" s="24" t="n">
        <v>5.5</v>
      </c>
      <c r="E54" t="inlineStr">
        <is>
          <t>per SF</t>
        </is>
      </c>
      <c r="F54" t="inlineStr">
        <is>
          <t>Standard ceramic tile</t>
        </is>
      </c>
    </row>
    <row r="55">
      <c r="A55" t="inlineStr">
        <is>
          <t>Tile - Porcelain</t>
        </is>
      </c>
      <c r="B55" s="24" t="n">
        <v>12</v>
      </c>
      <c r="C55" s="24" t="n">
        <v>10</v>
      </c>
      <c r="D55" s="24" t="n">
        <v>8</v>
      </c>
      <c r="E55" t="inlineStr">
        <is>
          <t>per SF</t>
        </is>
      </c>
      <c r="F55" t="inlineStr">
        <is>
          <t>Durable porcelain</t>
        </is>
      </c>
    </row>
    <row r="56">
      <c r="A56" t="inlineStr">
        <is>
          <t>Tile - Large Format</t>
        </is>
      </c>
      <c r="B56" s="24" t="n">
        <v>15</v>
      </c>
      <c r="C56" s="24" t="n">
        <v>12</v>
      </c>
      <c r="D56" s="24" t="n">
        <v>10</v>
      </c>
      <c r="E56" t="inlineStr">
        <is>
          <t>per SF</t>
        </is>
      </c>
      <c r="F56" t="inlineStr">
        <is>
          <t>12x24" or larger tiles</t>
        </is>
      </c>
    </row>
    <row r="58">
      <c r="A58" s="22" t="inlineStr">
        <is>
          <t>PAINT &amp; FINISHES</t>
        </is>
      </c>
    </row>
    <row r="59">
      <c r="A59" t="inlineStr">
        <is>
          <t>Interior Paint - 1BR (SF)</t>
        </is>
      </c>
      <c r="B59" s="24" t="n">
        <v>2.5</v>
      </c>
      <c r="C59" s="24" t="n">
        <v>2</v>
      </c>
      <c r="D59" s="24" t="n">
        <v>1.75</v>
      </c>
      <c r="E59" t="inlineStr">
        <is>
          <t>per SF</t>
        </is>
      </c>
      <c r="F59" t="inlineStr">
        <is>
          <t>Walls + ceiling, 2 coats</t>
        </is>
      </c>
    </row>
    <row r="60">
      <c r="A60" t="inlineStr">
        <is>
          <t>Interior Paint - 2BR (SF)</t>
        </is>
      </c>
      <c r="B60" s="24" t="n">
        <v>2.5</v>
      </c>
      <c r="C60" s="24" t="n">
        <v>2</v>
      </c>
      <c r="D60" s="24" t="n">
        <v>1.75</v>
      </c>
      <c r="E60" t="inlineStr">
        <is>
          <t>per SF</t>
        </is>
      </c>
      <c r="F60" t="inlineStr">
        <is>
          <t>Walls + ceiling, 2 coats</t>
        </is>
      </c>
    </row>
    <row r="61">
      <c r="A61" t="inlineStr">
        <is>
          <t>Interior Paint - 3BR (SF)</t>
        </is>
      </c>
      <c r="B61" s="24" t="n">
        <v>2.5</v>
      </c>
      <c r="C61" s="24" t="n">
        <v>2</v>
      </c>
      <c r="D61" s="24" t="n">
        <v>1.75</v>
      </c>
      <c r="E61" t="inlineStr">
        <is>
          <t>per SF</t>
        </is>
      </c>
      <c r="F61" t="inlineStr">
        <is>
          <t>Walls + ceiling, 2 coats</t>
        </is>
      </c>
    </row>
    <row r="62">
      <c r="A62" t="inlineStr">
        <is>
          <t>Accent Wall - Feature Color</t>
        </is>
      </c>
      <c r="B62" s="24" t="n">
        <v>200</v>
      </c>
      <c r="C62" s="24" t="n">
        <v>150</v>
      </c>
      <c r="D62" s="24" t="n">
        <v>120</v>
      </c>
      <c r="E62" t="inlineStr">
        <is>
          <t>per wall</t>
        </is>
      </c>
      <c r="F62" t="inlineStr">
        <is>
          <t>Single accent wall</t>
        </is>
      </c>
    </row>
    <row r="63">
      <c r="A63" t="inlineStr">
        <is>
          <t>Trim &amp; Baseboards - Paint</t>
        </is>
      </c>
      <c r="B63" s="24" t="n">
        <v>1.5</v>
      </c>
      <c r="C63" s="24" t="n">
        <v>1.2</v>
      </c>
      <c r="D63" s="24" t="n">
        <v>1</v>
      </c>
      <c r="E63" t="inlineStr">
        <is>
          <t>per LF</t>
        </is>
      </c>
      <c r="F63" t="inlineStr">
        <is>
          <t>Paint existing trim</t>
        </is>
      </c>
    </row>
    <row r="64">
      <c r="A64" t="inlineStr">
        <is>
          <t>Trim &amp; Baseboards - Replace</t>
        </is>
      </c>
      <c r="B64" s="24" t="n">
        <v>4</v>
      </c>
      <c r="C64" s="24" t="n">
        <v>3.5</v>
      </c>
      <c r="D64" s="24" t="n">
        <v>3</v>
      </c>
      <c r="E64" t="inlineStr">
        <is>
          <t>per LF</t>
        </is>
      </c>
      <c r="F64" t="inlineStr">
        <is>
          <t>New trim + paint</t>
        </is>
      </c>
    </row>
    <row r="65">
      <c r="A65" t="inlineStr">
        <is>
          <t>Doors - Paint Existing</t>
        </is>
      </c>
      <c r="B65" s="24" t="n">
        <v>150</v>
      </c>
      <c r="C65" s="24" t="n">
        <v>120</v>
      </c>
      <c r="D65" s="24" t="n">
        <v>100</v>
      </c>
      <c r="E65" t="inlineStr">
        <is>
          <t>per door</t>
        </is>
      </c>
      <c r="F65" t="inlineStr">
        <is>
          <t>Paint existing doors</t>
        </is>
      </c>
    </row>
    <row r="66">
      <c r="A66" t="inlineStr">
        <is>
          <t>Doors - Replace Interior</t>
        </is>
      </c>
      <c r="B66" s="24" t="n">
        <v>350</v>
      </c>
      <c r="C66" s="24" t="n">
        <v>280</v>
      </c>
      <c r="D66" s="24" t="n">
        <v>220</v>
      </c>
      <c r="E66" t="inlineStr">
        <is>
          <t>per door</t>
        </is>
      </c>
      <c r="F66" t="inlineStr">
        <is>
          <t>New door + hardware + paint</t>
        </is>
      </c>
    </row>
    <row r="67">
      <c r="A67" t="inlineStr">
        <is>
          <t>Door Hardware - Upgrade</t>
        </is>
      </c>
      <c r="B67" s="24" t="n">
        <v>50</v>
      </c>
      <c r="C67" s="24" t="n">
        <v>40</v>
      </c>
      <c r="D67" s="24" t="n">
        <v>30</v>
      </c>
      <c r="E67" t="inlineStr">
        <is>
          <t>per door</t>
        </is>
      </c>
      <c r="F67" t="inlineStr">
        <is>
          <t>New handles/locks</t>
        </is>
      </c>
    </row>
    <row r="69">
      <c r="A69" s="22" t="inlineStr">
        <is>
          <t>APPLIANCES &amp; FIXTURES</t>
        </is>
      </c>
    </row>
    <row r="70">
      <c r="A70" t="inlineStr">
        <is>
          <t>Light Fixtures - Basic</t>
        </is>
      </c>
      <c r="B70" s="23" t="n">
        <v>50</v>
      </c>
      <c r="C70" s="23" t="n">
        <v>40</v>
      </c>
      <c r="D70" s="23" t="n">
        <v>30</v>
      </c>
      <c r="E70" t="inlineStr">
        <is>
          <t>per fixture</t>
        </is>
      </c>
      <c r="F70" t="inlineStr">
        <is>
          <t>Builder-grade fixtures</t>
        </is>
      </c>
    </row>
    <row r="71">
      <c r="A71" t="inlineStr">
        <is>
          <t>Light Fixtures - Mid-Grade</t>
        </is>
      </c>
      <c r="B71" s="23" t="n">
        <v>100</v>
      </c>
      <c r="C71" s="23" t="n">
        <v>80</v>
      </c>
      <c r="D71" s="23" t="n">
        <v>60</v>
      </c>
      <c r="E71" t="inlineStr">
        <is>
          <t>per fixture</t>
        </is>
      </c>
      <c r="F71" t="inlineStr">
        <is>
          <t>Brushed nickel, modern</t>
        </is>
      </c>
    </row>
    <row r="72">
      <c r="A72" t="inlineStr">
        <is>
          <t>Light Fixtures - Premium</t>
        </is>
      </c>
      <c r="B72" s="23" t="n">
        <v>200</v>
      </c>
      <c r="C72" s="23" t="n">
        <v>150</v>
      </c>
      <c r="D72" s="23" t="n">
        <v>120</v>
      </c>
      <c r="E72" t="inlineStr">
        <is>
          <t>per fixture</t>
        </is>
      </c>
      <c r="F72" t="inlineStr">
        <is>
          <t>Designer fixtures</t>
        </is>
      </c>
    </row>
    <row r="73">
      <c r="A73" t="inlineStr">
        <is>
          <t>Ceiling Fans</t>
        </is>
      </c>
      <c r="B73" s="23" t="n">
        <v>200</v>
      </c>
      <c r="C73" s="23" t="n">
        <v>150</v>
      </c>
      <c r="D73" s="23" t="n">
        <v>120</v>
      </c>
      <c r="E73" t="inlineStr">
        <is>
          <t>per fan</t>
        </is>
      </c>
      <c r="F73" t="inlineStr">
        <is>
          <t>With light kit</t>
        </is>
      </c>
    </row>
    <row r="74">
      <c r="A74" t="inlineStr">
        <is>
          <t>Window Blinds - Vinyl</t>
        </is>
      </c>
      <c r="B74" s="23" t="n">
        <v>40</v>
      </c>
      <c r="C74" s="23" t="n">
        <v>35</v>
      </c>
      <c r="D74" s="23" t="n">
        <v>30</v>
      </c>
      <c r="E74" t="inlineStr">
        <is>
          <t>per window</t>
        </is>
      </c>
      <c r="F74" t="inlineStr">
        <is>
          <t>Basic vinyl blinds</t>
        </is>
      </c>
    </row>
    <row r="75">
      <c r="A75" t="inlineStr">
        <is>
          <t>Window Blinds - Faux Wood</t>
        </is>
      </c>
      <c r="B75" s="23" t="n">
        <v>80</v>
      </c>
      <c r="C75" s="23" t="n">
        <v>65</v>
      </c>
      <c r="D75" s="23" t="n">
        <v>50</v>
      </c>
      <c r="E75" t="inlineStr">
        <is>
          <t>per window</t>
        </is>
      </c>
      <c r="F75" t="inlineStr">
        <is>
          <t>Better quality faux wood</t>
        </is>
      </c>
    </row>
    <row r="76">
      <c r="A76" t="inlineStr">
        <is>
          <t>Thermostat - Programmable</t>
        </is>
      </c>
      <c r="B76" s="23" t="n">
        <v>150</v>
      </c>
      <c r="C76" s="23" t="n">
        <v>120</v>
      </c>
      <c r="D76" s="23" t="n">
        <v>100</v>
      </c>
      <c r="E76" t="inlineStr">
        <is>
          <t>per unit</t>
        </is>
      </c>
      <c r="F76" t="inlineStr">
        <is>
          <t>Digital programmable</t>
        </is>
      </c>
    </row>
    <row r="77">
      <c r="A77" t="inlineStr">
        <is>
          <t>Thermostat - Smart (Nest/Ecobee)</t>
        </is>
      </c>
      <c r="B77" s="23" t="n">
        <v>250</v>
      </c>
      <c r="C77" s="23" t="n">
        <v>200</v>
      </c>
      <c r="D77" s="23" t="n">
        <v>160</v>
      </c>
      <c r="E77" t="inlineStr">
        <is>
          <t>per unit</t>
        </is>
      </c>
      <c r="F77" t="inlineStr">
        <is>
          <t>WiFi smart thermostat</t>
        </is>
      </c>
    </row>
    <row r="78">
      <c r="A78" t="inlineStr">
        <is>
          <t>Smoke/CO Detectors - Hardwired</t>
        </is>
      </c>
      <c r="B78" s="23" t="n">
        <v>80</v>
      </c>
      <c r="C78" s="23" t="n">
        <v>65</v>
      </c>
      <c r="D78" s="23" t="n">
        <v>50</v>
      </c>
      <c r="E78" t="inlineStr">
        <is>
          <t>per unit</t>
        </is>
      </c>
      <c r="F78" t="inlineStr">
        <is>
          <t>Meet code requirements</t>
        </is>
      </c>
    </row>
    <row r="79">
      <c r="A79" t="inlineStr">
        <is>
          <t>Washer/Dryer Hookups</t>
        </is>
      </c>
      <c r="B79" s="23" t="n">
        <v>300</v>
      </c>
      <c r="C79" s="23" t="n">
        <v>250</v>
      </c>
      <c r="D79" s="23" t="n">
        <v>200</v>
      </c>
      <c r="E79" t="inlineStr">
        <is>
          <t>per unit</t>
        </is>
      </c>
      <c r="F79" t="inlineStr">
        <is>
          <t>Install hookups if not existing</t>
        </is>
      </c>
    </row>
    <row r="80">
      <c r="A80" t="inlineStr">
        <is>
          <t>Dishwasher - Basic</t>
        </is>
      </c>
      <c r="B80" s="23" t="n">
        <v>400</v>
      </c>
      <c r="C80" s="23" t="n">
        <v>350</v>
      </c>
      <c r="D80" s="23" t="n">
        <v>300</v>
      </c>
      <c r="E80" t="inlineStr">
        <is>
          <t>per unit</t>
        </is>
      </c>
      <c r="F80" t="inlineStr">
        <is>
          <t>Basic dishwasher</t>
        </is>
      </c>
    </row>
    <row r="81">
      <c r="A81" t="inlineStr">
        <is>
          <t>Dishwasher - Stainless</t>
        </is>
      </c>
      <c r="B81" s="23" t="n">
        <v>600</v>
      </c>
      <c r="C81" s="23" t="n">
        <v>500</v>
      </c>
      <c r="D81" s="23" t="n">
        <v>400</v>
      </c>
      <c r="E81" t="inlineStr">
        <is>
          <t>per unit</t>
        </is>
      </c>
      <c r="F81" t="inlineStr">
        <is>
          <t>Stainless front</t>
        </is>
      </c>
    </row>
    <row r="82">
      <c r="A82" t="inlineStr">
        <is>
          <t>Microwave - Over Range</t>
        </is>
      </c>
      <c r="B82" s="23" t="n">
        <v>300</v>
      </c>
      <c r="C82" s="23" t="n">
        <v>250</v>
      </c>
      <c r="D82" s="23" t="n">
        <v>200</v>
      </c>
      <c r="E82" t="inlineStr">
        <is>
          <t>per unit</t>
        </is>
      </c>
      <c r="F82" t="inlineStr">
        <is>
          <t>OTR microwave</t>
        </is>
      </c>
    </row>
    <row r="83">
      <c r="A83" t="inlineStr">
        <is>
          <t>Microwave - Built-in</t>
        </is>
      </c>
      <c r="B83" s="23" t="n">
        <v>500</v>
      </c>
      <c r="C83" s="23" t="n">
        <v>400</v>
      </c>
      <c r="D83" s="23" t="n">
        <v>320</v>
      </c>
      <c r="E83" t="inlineStr">
        <is>
          <t>per unit</t>
        </is>
      </c>
      <c r="F83" t="inlineStr">
        <is>
          <t>Built-in microwave</t>
        </is>
      </c>
    </row>
    <row r="85">
      <c r="A85" s="22" t="inlineStr">
        <is>
          <t>EXTERIOR IMPROVEMENTS</t>
        </is>
      </c>
    </row>
    <row r="86">
      <c r="A86" t="inlineStr">
        <is>
          <t>Exterior Paint (SF)</t>
        </is>
      </c>
      <c r="B86" s="23" t="n">
        <v>3</v>
      </c>
      <c r="C86" s="23" t="n">
        <v>2.5</v>
      </c>
      <c r="D86" s="23" t="n">
        <v>2</v>
      </c>
      <c r="E86" t="inlineStr">
        <is>
          <t>per SF</t>
        </is>
      </c>
      <c r="F86" t="inlineStr">
        <is>
          <t>Building exterior painting</t>
        </is>
      </c>
    </row>
    <row r="87">
      <c r="A87" t="inlineStr">
        <is>
          <t>Siding Repair (SF)</t>
        </is>
      </c>
      <c r="B87" s="23" t="n">
        <v>8</v>
      </c>
      <c r="C87" s="23" t="n">
        <v>6.5</v>
      </c>
      <c r="D87" s="23" t="n">
        <v>5</v>
      </c>
      <c r="E87" t="inlineStr">
        <is>
          <t>per SF</t>
        </is>
      </c>
      <c r="F87" t="inlineStr">
        <is>
          <t>Replace damaged siding</t>
        </is>
      </c>
    </row>
    <row r="88">
      <c r="A88" t="inlineStr">
        <is>
          <t>Entry Door - Upgrade</t>
        </is>
      </c>
      <c r="B88" s="23" t="n">
        <v>800</v>
      </c>
      <c r="C88" s="23" t="n">
        <v>650</v>
      </c>
      <c r="D88" s="23" t="n">
        <v>500</v>
      </c>
      <c r="E88" t="inlineStr">
        <is>
          <t>per door</t>
        </is>
      </c>
      <c r="F88" t="inlineStr">
        <is>
          <t>New entry door + hardware</t>
        </is>
      </c>
    </row>
    <row r="89">
      <c r="A89" t="inlineStr">
        <is>
          <t>Patio/Balcony - Resurface</t>
        </is>
      </c>
      <c r="B89" s="23" t="n">
        <v>1500</v>
      </c>
      <c r="C89" s="23" t="n">
        <v>1200</v>
      </c>
      <c r="D89" s="23" t="n">
        <v>900</v>
      </c>
      <c r="E89" t="inlineStr">
        <is>
          <t>per unit</t>
        </is>
      </c>
      <c r="F89" t="inlineStr">
        <is>
          <t>Resurface balcony</t>
        </is>
      </c>
    </row>
    <row r="90">
      <c r="A90" t="inlineStr">
        <is>
          <t>Landscaping - Basic</t>
        </is>
      </c>
      <c r="B90" s="23" t="n">
        <v>3</v>
      </c>
      <c r="C90" s="23" t="n">
        <v>2.5</v>
      </c>
      <c r="D90" s="23" t="n">
        <v>2</v>
      </c>
      <c r="E90" t="inlineStr">
        <is>
          <t>per SF</t>
        </is>
      </c>
      <c r="F90" t="inlineStr">
        <is>
          <t>Basic landscaping per SF of grounds</t>
        </is>
      </c>
    </row>
    <row r="91">
      <c r="A91" t="inlineStr">
        <is>
          <t>Landscaping - Enhanced</t>
        </is>
      </c>
      <c r="B91" s="23" t="n">
        <v>6</v>
      </c>
      <c r="C91" s="23" t="n">
        <v>5</v>
      </c>
      <c r="D91" s="23" t="n">
        <v>4</v>
      </c>
      <c r="E91" t="inlineStr">
        <is>
          <t>per SF</t>
        </is>
      </c>
      <c r="F91" t="inlineStr">
        <is>
          <t>Enhanced curb appeal package</t>
        </is>
      </c>
    </row>
    <row r="92">
      <c r="A92" t="inlineStr">
        <is>
          <t>Tree Planting - Small</t>
        </is>
      </c>
      <c r="B92" s="23" t="n">
        <v>250</v>
      </c>
      <c r="C92" s="23" t="n">
        <v>200</v>
      </c>
      <c r="D92" s="23" t="n">
        <v>150</v>
      </c>
      <c r="E92" t="inlineStr">
        <is>
          <t>per tree</t>
        </is>
      </c>
      <c r="F92" t="inlineStr">
        <is>
          <t>6-8ft tree</t>
        </is>
      </c>
    </row>
    <row r="93">
      <c r="A93" t="inlineStr">
        <is>
          <t>Tree Planting - Large</t>
        </is>
      </c>
      <c r="B93" s="23" t="n">
        <v>800</v>
      </c>
      <c r="C93" s="23" t="n">
        <v>650</v>
      </c>
      <c r="D93" s="23" t="n">
        <v>500</v>
      </c>
      <c r="E93" t="inlineStr">
        <is>
          <t>per tree</t>
        </is>
      </c>
      <c r="F93" t="inlineStr">
        <is>
          <t>12-15ft specimen tree</t>
        </is>
      </c>
    </row>
    <row r="94">
      <c r="A94" t="inlineStr">
        <is>
          <t>Irrigation System (SF)</t>
        </is>
      </c>
      <c r="B94" s="24" t="n">
        <v>2.5</v>
      </c>
      <c r="C94" s="24" t="n">
        <v>2</v>
      </c>
      <c r="D94" s="24" t="n">
        <v>1.5</v>
      </c>
      <c r="E94" t="inlineStr">
        <is>
          <t>per SF</t>
        </is>
      </c>
      <c r="F94" t="inlineStr">
        <is>
          <t>Drip or spray irrigation</t>
        </is>
      </c>
    </row>
    <row r="95">
      <c r="A95" t="inlineStr">
        <is>
          <t>Fencing - Chain Link</t>
        </is>
      </c>
      <c r="B95" s="23" t="n">
        <v>15</v>
      </c>
      <c r="C95" s="23" t="n">
        <v>12</v>
      </c>
      <c r="D95" s="23" t="n">
        <v>10</v>
      </c>
      <c r="E95" t="inlineStr">
        <is>
          <t>per LF</t>
        </is>
      </c>
      <c r="F95" t="inlineStr">
        <is>
          <t>Chain link fence</t>
        </is>
      </c>
    </row>
    <row r="96">
      <c r="A96" t="inlineStr">
        <is>
          <t>Fencing - Wood Privacy</t>
        </is>
      </c>
      <c r="B96" s="23" t="n">
        <v>30</v>
      </c>
      <c r="C96" s="23" t="n">
        <v>25</v>
      </c>
      <c r="D96" s="23" t="n">
        <v>20</v>
      </c>
      <c r="E96" t="inlineStr">
        <is>
          <t>per LF</t>
        </is>
      </c>
      <c r="F96" t="inlineStr">
        <is>
          <t>Wood privacy fence</t>
        </is>
      </c>
    </row>
    <row r="97">
      <c r="A97" t="inlineStr">
        <is>
          <t>Fencing - Vinyl</t>
        </is>
      </c>
      <c r="B97" s="23" t="n">
        <v>35</v>
      </c>
      <c r="C97" s="23" t="n">
        <v>28</v>
      </c>
      <c r="D97" s="23" t="n">
        <v>22</v>
      </c>
      <c r="E97" t="inlineStr">
        <is>
          <t>per LF</t>
        </is>
      </c>
      <c r="F97" t="inlineStr">
        <is>
          <t>Vinyl privacy fence</t>
        </is>
      </c>
    </row>
    <row r="98">
      <c r="A98" t="inlineStr">
        <is>
          <t>Parking Lot - Sealcoat</t>
        </is>
      </c>
      <c r="B98" s="24" t="n">
        <v>0.5</v>
      </c>
      <c r="C98" s="24" t="n">
        <v>0.4</v>
      </c>
      <c r="D98" s="24" t="n">
        <v>0.35</v>
      </c>
      <c r="E98" t="inlineStr">
        <is>
          <t>per SF</t>
        </is>
      </c>
      <c r="F98" t="inlineStr">
        <is>
          <t>Sealcoat existing asphalt</t>
        </is>
      </c>
    </row>
    <row r="99">
      <c r="A99" t="inlineStr">
        <is>
          <t>Parking Lot - Repave</t>
        </is>
      </c>
      <c r="B99" s="23" t="n">
        <v>4</v>
      </c>
      <c r="C99" s="23" t="n">
        <v>3.5</v>
      </c>
      <c r="D99" s="23" t="n">
        <v>3</v>
      </c>
      <c r="E99" t="inlineStr">
        <is>
          <t>per SF</t>
        </is>
      </c>
      <c r="F99" t="inlineStr">
        <is>
          <t>Mill and overlay</t>
        </is>
      </c>
    </row>
    <row r="100">
      <c r="A100" t="inlineStr">
        <is>
          <t>Lighting - Exterior/Security</t>
        </is>
      </c>
      <c r="B100" s="23" t="n">
        <v>400</v>
      </c>
      <c r="C100" s="23" t="n">
        <v>320</v>
      </c>
      <c r="D100" s="23" t="n">
        <v>250</v>
      </c>
      <c r="E100" t="inlineStr">
        <is>
          <t>per light</t>
        </is>
      </c>
      <c r="F100" t="inlineStr">
        <is>
          <t>Exterior security lighting</t>
        </is>
      </c>
    </row>
    <row r="101">
      <c r="A101" t="inlineStr">
        <is>
          <t>Signage - Monument Sign</t>
        </is>
      </c>
      <c r="B101" s="23" t="n">
        <v>8000</v>
      </c>
      <c r="C101" s="23" t="n">
        <v>6000</v>
      </c>
      <c r="D101" s="23" t="n">
        <v>4500</v>
      </c>
      <c r="E101" t="inlineStr">
        <is>
          <t>per property</t>
        </is>
      </c>
      <c r="F101" t="inlineStr">
        <is>
          <t>Monument/monument sign</t>
        </is>
      </c>
    </row>
    <row r="103">
      <c r="A103" s="22" t="inlineStr">
        <is>
          <t>COMMON AREA IMPROVEMENTS</t>
        </is>
      </c>
    </row>
    <row r="104">
      <c r="A104" t="inlineStr">
        <is>
          <t>Lobby Renovation (SF)</t>
        </is>
      </c>
      <c r="B104" s="23" t="n">
        <v>50</v>
      </c>
      <c r="C104" s="23" t="n">
        <v>40</v>
      </c>
      <c r="D104" s="23" t="n">
        <v>30</v>
      </c>
      <c r="E104" t="inlineStr">
        <is>
          <t>per SF</t>
        </is>
      </c>
      <c r="F104" t="inlineStr">
        <is>
          <t>Full lobby remodel</t>
        </is>
      </c>
    </row>
    <row r="105">
      <c r="A105" t="inlineStr">
        <is>
          <t>Fitness Center Build-Out (SF)</t>
        </is>
      </c>
      <c r="B105" s="23" t="n">
        <v>40</v>
      </c>
      <c r="C105" s="23" t="n">
        <v>32</v>
      </c>
      <c r="D105" s="23" t="n">
        <v>25</v>
      </c>
      <c r="E105" t="inlineStr">
        <is>
          <t>per SF</t>
        </is>
      </c>
      <c r="F105" t="inlineStr">
        <is>
          <t>Create fitness center</t>
        </is>
      </c>
    </row>
    <row r="106">
      <c r="A106" t="inlineStr">
        <is>
          <t>Pool Renovation - Replaster</t>
        </is>
      </c>
      <c r="B106" s="23" t="n">
        <v>8000</v>
      </c>
      <c r="C106" s="23" t="n">
        <v>6500</v>
      </c>
      <c r="D106" s="23" t="n">
        <v>5000</v>
      </c>
      <c r="E106" t="inlineStr">
        <is>
          <t>per pool</t>
        </is>
      </c>
      <c r="F106" t="inlineStr">
        <is>
          <t>Replaster existing pool</t>
        </is>
      </c>
    </row>
    <row r="107">
      <c r="A107" t="inlineStr">
        <is>
          <t>Pool Renovation - Full</t>
        </is>
      </c>
      <c r="B107" s="23" t="n">
        <v>25000</v>
      </c>
      <c r="C107" s="23" t="n">
        <v>20000</v>
      </c>
      <c r="D107" s="23" t="n">
        <v>15000</v>
      </c>
      <c r="E107" t="inlineStr">
        <is>
          <t>per pool</t>
        </is>
      </c>
      <c r="F107" t="inlineStr">
        <is>
          <t>Complete pool renovation</t>
        </is>
      </c>
    </row>
    <row r="108">
      <c r="A108" t="inlineStr">
        <is>
          <t>Pool Deck - Resurface</t>
        </is>
      </c>
      <c r="B108" s="23" t="n">
        <v>10</v>
      </c>
      <c r="C108" s="23" t="n">
        <v>8</v>
      </c>
      <c r="D108" s="23" t="n">
        <v>6</v>
      </c>
      <c r="E108" t="inlineStr">
        <is>
          <t>per SF</t>
        </is>
      </c>
      <c r="F108" t="inlineStr">
        <is>
          <t>Resurface pool deck</t>
        </is>
      </c>
    </row>
    <row r="109">
      <c r="A109" t="inlineStr">
        <is>
          <t>Clubhouse Renovation (SF)</t>
        </is>
      </c>
      <c r="B109" s="23" t="n">
        <v>60</v>
      </c>
      <c r="C109" s="23" t="n">
        <v>48</v>
      </c>
      <c r="D109" s="23" t="n">
        <v>38</v>
      </c>
      <c r="E109" t="inlineStr">
        <is>
          <t>per SF</t>
        </is>
      </c>
      <c r="F109" t="inlineStr">
        <is>
          <t>Full clubhouse remodel</t>
        </is>
      </c>
    </row>
    <row r="110">
      <c r="A110" t="inlineStr">
        <is>
          <t>Package Lockers - Amazon Hub</t>
        </is>
      </c>
      <c r="B110" s="23" t="n">
        <v>12000</v>
      </c>
      <c r="C110" s="23" t="n">
        <v>10000</v>
      </c>
      <c r="D110" s="23" t="n">
        <v>8000</v>
      </c>
      <c r="E110" t="inlineStr">
        <is>
          <t>per property</t>
        </is>
      </c>
      <c r="F110" t="inlineStr">
        <is>
          <t>30-50 lockers</t>
        </is>
      </c>
    </row>
    <row r="111">
      <c r="A111" t="inlineStr">
        <is>
          <t>Security System - Cameras</t>
        </is>
      </c>
      <c r="B111" s="23" t="n">
        <v>1500</v>
      </c>
      <c r="C111" s="23" t="n">
        <v>1200</v>
      </c>
      <c r="D111" s="23" t="n">
        <v>1000</v>
      </c>
      <c r="E111" t="inlineStr">
        <is>
          <t>per camera</t>
        </is>
      </c>
      <c r="F111" t="inlineStr">
        <is>
          <t>IP camera + install</t>
        </is>
      </c>
    </row>
    <row r="112">
      <c r="A112" t="inlineStr">
        <is>
          <t>Security System - Access Control</t>
        </is>
      </c>
      <c r="B112" s="23" t="n">
        <v>500</v>
      </c>
      <c r="C112" s="23" t="n">
        <v>400</v>
      </c>
      <c r="D112" s="23" t="n">
        <v>320</v>
      </c>
      <c r="E112" t="inlineStr">
        <is>
          <t>per door</t>
        </is>
      </c>
      <c r="F112" t="inlineStr">
        <is>
          <t>Key fob access</t>
        </is>
      </c>
    </row>
    <row r="113">
      <c r="A113" t="inlineStr">
        <is>
          <t>Mailbox Replacement</t>
        </is>
      </c>
      <c r="B113" s="23" t="n">
        <v>150</v>
      </c>
      <c r="C113" s="23" t="n">
        <v>120</v>
      </c>
      <c r="D113" s="23" t="n">
        <v>100</v>
      </c>
      <c r="E113" t="inlineStr">
        <is>
          <t>per unit</t>
        </is>
      </c>
      <c r="F113" t="inlineStr">
        <is>
          <t>USPS approved mailboxes</t>
        </is>
      </c>
    </row>
    <row r="114">
      <c r="A114" t="inlineStr">
        <is>
          <t>Dog Park Build-Out</t>
        </is>
      </c>
      <c r="B114" s="23" t="n">
        <v>15000</v>
      </c>
      <c r="C114" s="23" t="n">
        <v>12000</v>
      </c>
      <c r="D114" s="23" t="n">
        <v>9000</v>
      </c>
      <c r="E114" t="inlineStr">
        <is>
          <t>per property</t>
        </is>
      </c>
      <c r="F114" t="inlineStr">
        <is>
          <t>Fenced dog park area</t>
        </is>
      </c>
    </row>
    <row r="115">
      <c r="A115" t="inlineStr">
        <is>
          <t>Playground Equipment</t>
        </is>
      </c>
      <c r="B115" s="23" t="n">
        <v>20000</v>
      </c>
      <c r="C115" s="23" t="n">
        <v>15000</v>
      </c>
      <c r="D115" s="23" t="n">
        <v>12000</v>
      </c>
      <c r="E115" t="inlineStr">
        <is>
          <t>per property</t>
        </is>
      </c>
      <c r="F115" t="inlineStr">
        <is>
          <t>Commercial playground</t>
        </is>
      </c>
    </row>
  </sheetData>
  <mergeCells count="9">
    <mergeCell ref="A2:F2"/>
    <mergeCell ref="A85:F85"/>
    <mergeCell ref="A1:F1"/>
    <mergeCell ref="A103:F103"/>
    <mergeCell ref="A5:F5"/>
    <mergeCell ref="A58:F58"/>
    <mergeCell ref="A22:F22"/>
    <mergeCell ref="A69:F69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14" t="inlineStr">
        <is>
          <t>UNIT-BY-UNIT RENOVATION BUDGET</t>
        </is>
      </c>
    </row>
    <row r="2">
      <c r="A2" s="20" t="inlineStr">
        <is>
          <t>Customize renovation scope and cost for each unit</t>
        </is>
      </c>
    </row>
    <row r="4">
      <c r="A4" s="25" t="inlineStr">
        <is>
          <t>INSTRUCTIONS: Enter renovation costs for each unit below. Use Cost Database sheet for reference pricing.</t>
        </is>
      </c>
    </row>
    <row r="6">
      <c r="A6" s="26" t="inlineStr">
        <is>
          <t>Unit</t>
        </is>
      </c>
      <c r="B6" s="26" t="inlineStr">
        <is>
          <t>Type</t>
        </is>
      </c>
      <c r="C6" s="26" t="inlineStr">
        <is>
          <t>Kitchen</t>
        </is>
      </c>
      <c r="D6" s="26" t="inlineStr">
        <is>
          <t>Bathroom</t>
        </is>
      </c>
      <c r="E6" s="26" t="inlineStr">
        <is>
          <t>Flooring</t>
        </is>
      </c>
      <c r="F6" s="26" t="inlineStr">
        <is>
          <t>Paint</t>
        </is>
      </c>
      <c r="G6" s="26" t="inlineStr">
        <is>
          <t>Fixtures</t>
        </is>
      </c>
      <c r="H6" s="26" t="inlineStr">
        <is>
          <t>Total</t>
        </is>
      </c>
      <c r="I6" s="26" t="inlineStr">
        <is>
          <t>Phase</t>
        </is>
      </c>
      <c r="J6" s="26" t="inlineStr">
        <is>
          <t>Start Date</t>
        </is>
      </c>
      <c r="K6" s="26" t="inlineStr">
        <is>
          <t>Status</t>
        </is>
      </c>
    </row>
    <row r="7">
      <c r="A7" s="27" t="n">
        <v>1</v>
      </c>
      <c r="B7" s="28" t="inlineStr">
        <is>
          <t>1BR</t>
        </is>
      </c>
      <c r="C7" s="29" t="n">
        <v>8000</v>
      </c>
      <c r="D7" s="29" t="n">
        <v>6500</v>
      </c>
      <c r="E7" s="29" t="n">
        <v>4500</v>
      </c>
      <c r="F7" s="29" t="n">
        <v>1500</v>
      </c>
      <c r="G7" s="29" t="n">
        <v>2500</v>
      </c>
      <c r="H7" s="30">
        <f>SUM(C7:G7)</f>
        <v/>
      </c>
      <c r="I7" s="31">
        <f>ROUNDUP(A7/Inputs!$B$20,0)</f>
        <v/>
      </c>
      <c r="J7" s="32">
        <f>DATE(2025,1,1)+((I7-1)*30)</f>
        <v/>
      </c>
      <c r="K7" s="28" t="inlineStr">
        <is>
          <t>Planned</t>
        </is>
      </c>
    </row>
    <row r="8">
      <c r="A8" s="27" t="n">
        <v>2</v>
      </c>
      <c r="B8" s="28" t="inlineStr">
        <is>
          <t>1BR</t>
        </is>
      </c>
      <c r="C8" s="29" t="n">
        <v>8000</v>
      </c>
      <c r="D8" s="29" t="n">
        <v>6500</v>
      </c>
      <c r="E8" s="29" t="n">
        <v>4500</v>
      </c>
      <c r="F8" s="29" t="n">
        <v>1500</v>
      </c>
      <c r="G8" s="29" t="n">
        <v>2500</v>
      </c>
      <c r="H8" s="30">
        <f>SUM(C8:G8)</f>
        <v/>
      </c>
      <c r="I8" s="31">
        <f>ROUNDUP(A8/Inputs!$B$20,0)</f>
        <v/>
      </c>
      <c r="J8" s="32">
        <f>DATE(2025,1,1)+((I8-1)*30)</f>
        <v/>
      </c>
      <c r="K8" s="28" t="inlineStr">
        <is>
          <t>Planned</t>
        </is>
      </c>
    </row>
    <row r="9">
      <c r="A9" s="27" t="n">
        <v>3</v>
      </c>
      <c r="B9" s="28" t="inlineStr">
        <is>
          <t>2BR</t>
        </is>
      </c>
      <c r="C9" s="29" t="n">
        <v>10000</v>
      </c>
      <c r="D9" s="29" t="n">
        <v>13000</v>
      </c>
      <c r="E9" s="29" t="n">
        <v>6000</v>
      </c>
      <c r="F9" s="29" t="n">
        <v>2000</v>
      </c>
      <c r="G9" s="29" t="n">
        <v>2500</v>
      </c>
      <c r="H9" s="30">
        <f>SUM(C9:G9)</f>
        <v/>
      </c>
      <c r="I9" s="31">
        <f>ROUNDUP(A9/Inputs!$B$20,0)</f>
        <v/>
      </c>
      <c r="J9" s="32">
        <f>DATE(2025,1,1)+((I9-1)*30)</f>
        <v/>
      </c>
      <c r="K9" s="28" t="inlineStr">
        <is>
          <t>Planned</t>
        </is>
      </c>
    </row>
    <row r="10">
      <c r="A10" s="27" t="n">
        <v>4</v>
      </c>
      <c r="B10" s="28" t="inlineStr">
        <is>
          <t>2BR</t>
        </is>
      </c>
      <c r="C10" s="29" t="n">
        <v>10000</v>
      </c>
      <c r="D10" s="29" t="n">
        <v>13000</v>
      </c>
      <c r="E10" s="29" t="n">
        <v>6000</v>
      </c>
      <c r="F10" s="29" t="n">
        <v>2000</v>
      </c>
      <c r="G10" s="29" t="n">
        <v>2500</v>
      </c>
      <c r="H10" s="30">
        <f>SUM(C10:G10)</f>
        <v/>
      </c>
      <c r="I10" s="31">
        <f>ROUNDUP(A10/Inputs!$B$20,0)</f>
        <v/>
      </c>
      <c r="J10" s="32">
        <f>DATE(2025,1,1)+((I10-1)*30)</f>
        <v/>
      </c>
      <c r="K10" s="28" t="inlineStr">
        <is>
          <t>Planned</t>
        </is>
      </c>
    </row>
    <row r="11">
      <c r="A11" s="27" t="n">
        <v>5</v>
      </c>
      <c r="B11" s="28" t="inlineStr">
        <is>
          <t>2BR</t>
        </is>
      </c>
      <c r="C11" s="29" t="n">
        <v>10000</v>
      </c>
      <c r="D11" s="29" t="n">
        <v>13000</v>
      </c>
      <c r="E11" s="29" t="n">
        <v>6000</v>
      </c>
      <c r="F11" s="29" t="n">
        <v>2000</v>
      </c>
      <c r="G11" s="29" t="n">
        <v>2500</v>
      </c>
      <c r="H11" s="30">
        <f>SUM(C11:G11)</f>
        <v/>
      </c>
      <c r="I11" s="31">
        <f>ROUNDUP(A11/Inputs!$B$20,0)</f>
        <v/>
      </c>
      <c r="J11" s="32">
        <f>DATE(2025,1,1)+((I11-1)*30)</f>
        <v/>
      </c>
      <c r="K11" s="28" t="inlineStr">
        <is>
          <t>Planned</t>
        </is>
      </c>
    </row>
    <row r="12">
      <c r="A12" s="27" t="n">
        <v>6</v>
      </c>
      <c r="B12" s="28" t="inlineStr">
        <is>
          <t>3BR</t>
        </is>
      </c>
      <c r="C12" s="29" t="n">
        <v>12000</v>
      </c>
      <c r="D12" s="29" t="n">
        <v>19500</v>
      </c>
      <c r="E12" s="29" t="n">
        <v>7500</v>
      </c>
      <c r="F12" s="29" t="n">
        <v>2500</v>
      </c>
      <c r="G12" s="29" t="n">
        <v>2500</v>
      </c>
      <c r="H12" s="30">
        <f>SUM(C12:G12)</f>
        <v/>
      </c>
      <c r="I12" s="31">
        <f>ROUNDUP(A12/Inputs!$B$20,0)</f>
        <v/>
      </c>
      <c r="J12" s="32">
        <f>DATE(2025,1,1)+((I12-1)*30)</f>
        <v/>
      </c>
      <c r="K12" s="28" t="inlineStr">
        <is>
          <t>Planned</t>
        </is>
      </c>
    </row>
    <row r="13">
      <c r="A13" s="27" t="n">
        <v>7</v>
      </c>
      <c r="B13" s="28" t="inlineStr">
        <is>
          <t>1BR</t>
        </is>
      </c>
      <c r="C13" s="29" t="n">
        <v>8000</v>
      </c>
      <c r="D13" s="29" t="n">
        <v>6500</v>
      </c>
      <c r="E13" s="29" t="n">
        <v>4500</v>
      </c>
      <c r="F13" s="29" t="n">
        <v>1500</v>
      </c>
      <c r="G13" s="29" t="n">
        <v>2500</v>
      </c>
      <c r="H13" s="30">
        <f>SUM(C13:G13)</f>
        <v/>
      </c>
      <c r="I13" s="31">
        <f>ROUNDUP(A13/Inputs!$B$20,0)</f>
        <v/>
      </c>
      <c r="J13" s="32">
        <f>DATE(2025,1,1)+((I13-1)*30)</f>
        <v/>
      </c>
      <c r="K13" s="28" t="inlineStr">
        <is>
          <t>Planned</t>
        </is>
      </c>
    </row>
    <row r="14">
      <c r="A14" s="27" t="n">
        <v>8</v>
      </c>
      <c r="B14" s="28" t="inlineStr">
        <is>
          <t>1BR</t>
        </is>
      </c>
      <c r="C14" s="29" t="n">
        <v>8000</v>
      </c>
      <c r="D14" s="29" t="n">
        <v>6500</v>
      </c>
      <c r="E14" s="29" t="n">
        <v>4500</v>
      </c>
      <c r="F14" s="29" t="n">
        <v>1500</v>
      </c>
      <c r="G14" s="29" t="n">
        <v>2500</v>
      </c>
      <c r="H14" s="30">
        <f>SUM(C14:G14)</f>
        <v/>
      </c>
      <c r="I14" s="31">
        <f>ROUNDUP(A14/Inputs!$B$20,0)</f>
        <v/>
      </c>
      <c r="J14" s="32">
        <f>DATE(2025,1,1)+((I14-1)*30)</f>
        <v/>
      </c>
      <c r="K14" s="28" t="inlineStr">
        <is>
          <t>Planned</t>
        </is>
      </c>
    </row>
    <row r="15">
      <c r="A15" s="27" t="n">
        <v>9</v>
      </c>
      <c r="B15" s="28" t="inlineStr">
        <is>
          <t>2BR</t>
        </is>
      </c>
      <c r="C15" s="29" t="n">
        <v>10000</v>
      </c>
      <c r="D15" s="29" t="n">
        <v>13000</v>
      </c>
      <c r="E15" s="29" t="n">
        <v>6000</v>
      </c>
      <c r="F15" s="29" t="n">
        <v>2000</v>
      </c>
      <c r="G15" s="29" t="n">
        <v>2500</v>
      </c>
      <c r="H15" s="30">
        <f>SUM(C15:G15)</f>
        <v/>
      </c>
      <c r="I15" s="31">
        <f>ROUNDUP(A15/Inputs!$B$20,0)</f>
        <v/>
      </c>
      <c r="J15" s="32">
        <f>DATE(2025,1,1)+((I15-1)*30)</f>
        <v/>
      </c>
      <c r="K15" s="28" t="inlineStr">
        <is>
          <t>Planned</t>
        </is>
      </c>
    </row>
    <row r="16">
      <c r="A16" s="27" t="n">
        <v>10</v>
      </c>
      <c r="B16" s="28" t="inlineStr">
        <is>
          <t>2BR</t>
        </is>
      </c>
      <c r="C16" s="29" t="n">
        <v>10000</v>
      </c>
      <c r="D16" s="29" t="n">
        <v>13000</v>
      </c>
      <c r="E16" s="29" t="n">
        <v>6000</v>
      </c>
      <c r="F16" s="29" t="n">
        <v>2000</v>
      </c>
      <c r="G16" s="29" t="n">
        <v>2500</v>
      </c>
      <c r="H16" s="30">
        <f>SUM(C16:G16)</f>
        <v/>
      </c>
      <c r="I16" s="31">
        <f>ROUNDUP(A16/Inputs!$B$20,0)</f>
        <v/>
      </c>
      <c r="J16" s="32">
        <f>DATE(2025,1,1)+((I16-1)*30)</f>
        <v/>
      </c>
      <c r="K16" s="28" t="inlineStr">
        <is>
          <t>Planned</t>
        </is>
      </c>
    </row>
    <row r="17">
      <c r="A17" s="27" t="n">
        <v>11</v>
      </c>
      <c r="B17" s="28" t="inlineStr">
        <is>
          <t>2BR</t>
        </is>
      </c>
      <c r="C17" s="29" t="n">
        <v>10000</v>
      </c>
      <c r="D17" s="29" t="n">
        <v>13000</v>
      </c>
      <c r="E17" s="29" t="n">
        <v>6000</v>
      </c>
      <c r="F17" s="29" t="n">
        <v>2000</v>
      </c>
      <c r="G17" s="29" t="n">
        <v>2500</v>
      </c>
      <c r="H17" s="30">
        <f>SUM(C17:G17)</f>
        <v/>
      </c>
      <c r="I17" s="31">
        <f>ROUNDUP(A17/Inputs!$B$20,0)</f>
        <v/>
      </c>
      <c r="J17" s="32">
        <f>DATE(2025,1,1)+((I17-1)*30)</f>
        <v/>
      </c>
      <c r="K17" s="28" t="inlineStr">
        <is>
          <t>Planned</t>
        </is>
      </c>
    </row>
    <row r="18">
      <c r="A18" s="27" t="n">
        <v>12</v>
      </c>
      <c r="B18" s="28" t="inlineStr">
        <is>
          <t>3BR</t>
        </is>
      </c>
      <c r="C18" s="29" t="n">
        <v>12000</v>
      </c>
      <c r="D18" s="29" t="n">
        <v>19500</v>
      </c>
      <c r="E18" s="29" t="n">
        <v>7500</v>
      </c>
      <c r="F18" s="29" t="n">
        <v>2500</v>
      </c>
      <c r="G18" s="29" t="n">
        <v>2500</v>
      </c>
      <c r="H18" s="30">
        <f>SUM(C18:G18)</f>
        <v/>
      </c>
      <c r="I18" s="31">
        <f>ROUNDUP(A18/Inputs!$B$20,0)</f>
        <v/>
      </c>
      <c r="J18" s="32">
        <f>DATE(2025,1,1)+((I18-1)*30)</f>
        <v/>
      </c>
      <c r="K18" s="28" t="inlineStr">
        <is>
          <t>Planned</t>
        </is>
      </c>
    </row>
    <row r="19">
      <c r="A19" s="27" t="n">
        <v>13</v>
      </c>
      <c r="B19" s="28" t="inlineStr">
        <is>
          <t>1BR</t>
        </is>
      </c>
      <c r="C19" s="29" t="n">
        <v>8000</v>
      </c>
      <c r="D19" s="29" t="n">
        <v>6500</v>
      </c>
      <c r="E19" s="29" t="n">
        <v>4500</v>
      </c>
      <c r="F19" s="29" t="n">
        <v>1500</v>
      </c>
      <c r="G19" s="29" t="n">
        <v>2500</v>
      </c>
      <c r="H19" s="30">
        <f>SUM(C19:G19)</f>
        <v/>
      </c>
      <c r="I19" s="31">
        <f>ROUNDUP(A19/Inputs!$B$20,0)</f>
        <v/>
      </c>
      <c r="J19" s="32">
        <f>DATE(2025,1,1)+((I19-1)*30)</f>
        <v/>
      </c>
      <c r="K19" s="28" t="inlineStr">
        <is>
          <t>Planned</t>
        </is>
      </c>
    </row>
    <row r="20">
      <c r="A20" s="27" t="n">
        <v>14</v>
      </c>
      <c r="B20" s="28" t="inlineStr">
        <is>
          <t>1BR</t>
        </is>
      </c>
      <c r="C20" s="29" t="n">
        <v>8000</v>
      </c>
      <c r="D20" s="29" t="n">
        <v>6500</v>
      </c>
      <c r="E20" s="29" t="n">
        <v>4500</v>
      </c>
      <c r="F20" s="29" t="n">
        <v>1500</v>
      </c>
      <c r="G20" s="29" t="n">
        <v>2500</v>
      </c>
      <c r="H20" s="30">
        <f>SUM(C20:G20)</f>
        <v/>
      </c>
      <c r="I20" s="31">
        <f>ROUNDUP(A20/Inputs!$B$20,0)</f>
        <v/>
      </c>
      <c r="J20" s="32">
        <f>DATE(2025,1,1)+((I20-1)*30)</f>
        <v/>
      </c>
      <c r="K20" s="28" t="inlineStr">
        <is>
          <t>Planned</t>
        </is>
      </c>
    </row>
    <row r="21">
      <c r="A21" s="27" t="n">
        <v>15</v>
      </c>
      <c r="B21" s="28" t="inlineStr">
        <is>
          <t>2BR</t>
        </is>
      </c>
      <c r="C21" s="29" t="n">
        <v>10000</v>
      </c>
      <c r="D21" s="29" t="n">
        <v>13000</v>
      </c>
      <c r="E21" s="29" t="n">
        <v>6000</v>
      </c>
      <c r="F21" s="29" t="n">
        <v>2000</v>
      </c>
      <c r="G21" s="29" t="n">
        <v>2500</v>
      </c>
      <c r="H21" s="30">
        <f>SUM(C21:G21)</f>
        <v/>
      </c>
      <c r="I21" s="31">
        <f>ROUNDUP(A21/Inputs!$B$20,0)</f>
        <v/>
      </c>
      <c r="J21" s="32">
        <f>DATE(2025,1,1)+((I21-1)*30)</f>
        <v/>
      </c>
      <c r="K21" s="28" t="inlineStr">
        <is>
          <t>Planned</t>
        </is>
      </c>
    </row>
    <row r="22">
      <c r="A22" s="27" t="n">
        <v>16</v>
      </c>
      <c r="B22" s="28" t="inlineStr">
        <is>
          <t>2BR</t>
        </is>
      </c>
      <c r="C22" s="29" t="n">
        <v>10000</v>
      </c>
      <c r="D22" s="29" t="n">
        <v>13000</v>
      </c>
      <c r="E22" s="29" t="n">
        <v>6000</v>
      </c>
      <c r="F22" s="29" t="n">
        <v>2000</v>
      </c>
      <c r="G22" s="29" t="n">
        <v>2500</v>
      </c>
      <c r="H22" s="30">
        <f>SUM(C22:G22)</f>
        <v/>
      </c>
      <c r="I22" s="31">
        <f>ROUNDUP(A22/Inputs!$B$20,0)</f>
        <v/>
      </c>
      <c r="J22" s="32">
        <f>DATE(2025,1,1)+((I22-1)*30)</f>
        <v/>
      </c>
      <c r="K22" s="28" t="inlineStr">
        <is>
          <t>Planned</t>
        </is>
      </c>
    </row>
    <row r="23">
      <c r="A23" s="27" t="n">
        <v>17</v>
      </c>
      <c r="B23" s="28" t="inlineStr">
        <is>
          <t>2BR</t>
        </is>
      </c>
      <c r="C23" s="29" t="n">
        <v>10000</v>
      </c>
      <c r="D23" s="29" t="n">
        <v>13000</v>
      </c>
      <c r="E23" s="29" t="n">
        <v>6000</v>
      </c>
      <c r="F23" s="29" t="n">
        <v>2000</v>
      </c>
      <c r="G23" s="29" t="n">
        <v>2500</v>
      </c>
      <c r="H23" s="30">
        <f>SUM(C23:G23)</f>
        <v/>
      </c>
      <c r="I23" s="31">
        <f>ROUNDUP(A23/Inputs!$B$20,0)</f>
        <v/>
      </c>
      <c r="J23" s="32">
        <f>DATE(2025,1,1)+((I23-1)*30)</f>
        <v/>
      </c>
      <c r="K23" s="28" t="inlineStr">
        <is>
          <t>Planned</t>
        </is>
      </c>
    </row>
    <row r="24">
      <c r="A24" s="27" t="n">
        <v>18</v>
      </c>
      <c r="B24" s="28" t="inlineStr">
        <is>
          <t>3BR</t>
        </is>
      </c>
      <c r="C24" s="29" t="n">
        <v>12000</v>
      </c>
      <c r="D24" s="29" t="n">
        <v>19500</v>
      </c>
      <c r="E24" s="29" t="n">
        <v>7500</v>
      </c>
      <c r="F24" s="29" t="n">
        <v>2500</v>
      </c>
      <c r="G24" s="29" t="n">
        <v>2500</v>
      </c>
      <c r="H24" s="30">
        <f>SUM(C24:G24)</f>
        <v/>
      </c>
      <c r="I24" s="31">
        <f>ROUNDUP(A24/Inputs!$B$20,0)</f>
        <v/>
      </c>
      <c r="J24" s="32">
        <f>DATE(2025,1,1)+((I24-1)*30)</f>
        <v/>
      </c>
      <c r="K24" s="28" t="inlineStr">
        <is>
          <t>Planned</t>
        </is>
      </c>
    </row>
    <row r="25">
      <c r="A25" s="27" t="n">
        <v>19</v>
      </c>
      <c r="B25" s="28" t="inlineStr">
        <is>
          <t>1BR</t>
        </is>
      </c>
      <c r="C25" s="29" t="n">
        <v>8000</v>
      </c>
      <c r="D25" s="29" t="n">
        <v>6500</v>
      </c>
      <c r="E25" s="29" t="n">
        <v>4500</v>
      </c>
      <c r="F25" s="29" t="n">
        <v>1500</v>
      </c>
      <c r="G25" s="29" t="n">
        <v>2500</v>
      </c>
      <c r="H25" s="30">
        <f>SUM(C25:G25)</f>
        <v/>
      </c>
      <c r="I25" s="31">
        <f>ROUNDUP(A25/Inputs!$B$20,0)</f>
        <v/>
      </c>
      <c r="J25" s="32">
        <f>DATE(2025,1,1)+((I25-1)*30)</f>
        <v/>
      </c>
      <c r="K25" s="28" t="inlineStr">
        <is>
          <t>Planned</t>
        </is>
      </c>
    </row>
    <row r="26">
      <c r="A26" s="27" t="n">
        <v>20</v>
      </c>
      <c r="B26" s="28" t="inlineStr">
        <is>
          <t>1BR</t>
        </is>
      </c>
      <c r="C26" s="29" t="n">
        <v>8000</v>
      </c>
      <c r="D26" s="29" t="n">
        <v>6500</v>
      </c>
      <c r="E26" s="29" t="n">
        <v>4500</v>
      </c>
      <c r="F26" s="29" t="n">
        <v>1500</v>
      </c>
      <c r="G26" s="29" t="n">
        <v>2500</v>
      </c>
      <c r="H26" s="30">
        <f>SUM(C26:G26)</f>
        <v/>
      </c>
      <c r="I26" s="31">
        <f>ROUNDUP(A26/Inputs!$B$20,0)</f>
        <v/>
      </c>
      <c r="J26" s="32">
        <f>DATE(2025,1,1)+((I26-1)*30)</f>
        <v/>
      </c>
      <c r="K26" s="28" t="inlineStr">
        <is>
          <t>Planned</t>
        </is>
      </c>
    </row>
    <row r="27">
      <c r="A27" s="27" t="n">
        <v>21</v>
      </c>
      <c r="B27" s="28" t="inlineStr">
        <is>
          <t>2BR</t>
        </is>
      </c>
      <c r="C27" s="29" t="n">
        <v>10000</v>
      </c>
      <c r="D27" s="29" t="n">
        <v>13000</v>
      </c>
      <c r="E27" s="29" t="n">
        <v>6000</v>
      </c>
      <c r="F27" s="29" t="n">
        <v>2000</v>
      </c>
      <c r="G27" s="29" t="n">
        <v>2500</v>
      </c>
      <c r="H27" s="30">
        <f>SUM(C27:G27)</f>
        <v/>
      </c>
      <c r="I27" s="31">
        <f>ROUNDUP(A27/Inputs!$B$20,0)</f>
        <v/>
      </c>
      <c r="J27" s="32">
        <f>DATE(2025,1,1)+((I27-1)*30)</f>
        <v/>
      </c>
      <c r="K27" s="28" t="inlineStr">
        <is>
          <t>Planned</t>
        </is>
      </c>
    </row>
    <row r="28">
      <c r="A28" s="27" t="n">
        <v>22</v>
      </c>
      <c r="B28" s="28" t="inlineStr">
        <is>
          <t>2BR</t>
        </is>
      </c>
      <c r="C28" s="29" t="n">
        <v>10000</v>
      </c>
      <c r="D28" s="29" t="n">
        <v>13000</v>
      </c>
      <c r="E28" s="29" t="n">
        <v>6000</v>
      </c>
      <c r="F28" s="29" t="n">
        <v>2000</v>
      </c>
      <c r="G28" s="29" t="n">
        <v>2500</v>
      </c>
      <c r="H28" s="30">
        <f>SUM(C28:G28)</f>
        <v/>
      </c>
      <c r="I28" s="31">
        <f>ROUNDUP(A28/Inputs!$B$20,0)</f>
        <v/>
      </c>
      <c r="J28" s="32">
        <f>DATE(2025,1,1)+((I28-1)*30)</f>
        <v/>
      </c>
      <c r="K28" s="28" t="inlineStr">
        <is>
          <t>Planned</t>
        </is>
      </c>
    </row>
    <row r="29">
      <c r="A29" s="27" t="n">
        <v>23</v>
      </c>
      <c r="B29" s="28" t="inlineStr">
        <is>
          <t>2BR</t>
        </is>
      </c>
      <c r="C29" s="29" t="n">
        <v>10000</v>
      </c>
      <c r="D29" s="29" t="n">
        <v>13000</v>
      </c>
      <c r="E29" s="29" t="n">
        <v>6000</v>
      </c>
      <c r="F29" s="29" t="n">
        <v>2000</v>
      </c>
      <c r="G29" s="29" t="n">
        <v>2500</v>
      </c>
      <c r="H29" s="30">
        <f>SUM(C29:G29)</f>
        <v/>
      </c>
      <c r="I29" s="31">
        <f>ROUNDUP(A29/Inputs!$B$20,0)</f>
        <v/>
      </c>
      <c r="J29" s="32">
        <f>DATE(2025,1,1)+((I29-1)*30)</f>
        <v/>
      </c>
      <c r="K29" s="28" t="inlineStr">
        <is>
          <t>Planned</t>
        </is>
      </c>
    </row>
    <row r="30">
      <c r="A30" s="27" t="n">
        <v>24</v>
      </c>
      <c r="B30" s="28" t="inlineStr">
        <is>
          <t>3BR</t>
        </is>
      </c>
      <c r="C30" s="29" t="n">
        <v>12000</v>
      </c>
      <c r="D30" s="29" t="n">
        <v>19500</v>
      </c>
      <c r="E30" s="29" t="n">
        <v>7500</v>
      </c>
      <c r="F30" s="29" t="n">
        <v>2500</v>
      </c>
      <c r="G30" s="29" t="n">
        <v>2500</v>
      </c>
      <c r="H30" s="30">
        <f>SUM(C30:G30)</f>
        <v/>
      </c>
      <c r="I30" s="31">
        <f>ROUNDUP(A30/Inputs!$B$20,0)</f>
        <v/>
      </c>
      <c r="J30" s="32">
        <f>DATE(2025,1,1)+((I30-1)*30)</f>
        <v/>
      </c>
      <c r="K30" s="28" t="inlineStr">
        <is>
          <t>Planned</t>
        </is>
      </c>
    </row>
    <row r="31">
      <c r="A31" s="27" t="n">
        <v>25</v>
      </c>
      <c r="B31" s="28" t="inlineStr">
        <is>
          <t>1BR</t>
        </is>
      </c>
      <c r="C31" s="29" t="n">
        <v>8000</v>
      </c>
      <c r="D31" s="29" t="n">
        <v>6500</v>
      </c>
      <c r="E31" s="29" t="n">
        <v>4500</v>
      </c>
      <c r="F31" s="29" t="n">
        <v>1500</v>
      </c>
      <c r="G31" s="29" t="n">
        <v>2500</v>
      </c>
      <c r="H31" s="30">
        <f>SUM(C31:G31)</f>
        <v/>
      </c>
      <c r="I31" s="31">
        <f>ROUNDUP(A31/Inputs!$B$20,0)</f>
        <v/>
      </c>
      <c r="J31" s="32">
        <f>DATE(2025,1,1)+((I31-1)*30)</f>
        <v/>
      </c>
      <c r="K31" s="28" t="inlineStr">
        <is>
          <t>Planned</t>
        </is>
      </c>
    </row>
    <row r="32">
      <c r="A32" s="27" t="n">
        <v>26</v>
      </c>
      <c r="B32" s="28" t="inlineStr">
        <is>
          <t>1BR</t>
        </is>
      </c>
      <c r="C32" s="29" t="n">
        <v>8000</v>
      </c>
      <c r="D32" s="29" t="n">
        <v>6500</v>
      </c>
      <c r="E32" s="29" t="n">
        <v>4500</v>
      </c>
      <c r="F32" s="29" t="n">
        <v>1500</v>
      </c>
      <c r="G32" s="29" t="n">
        <v>2500</v>
      </c>
      <c r="H32" s="30">
        <f>SUM(C32:G32)</f>
        <v/>
      </c>
      <c r="I32" s="31">
        <f>ROUNDUP(A32/Inputs!$B$20,0)</f>
        <v/>
      </c>
      <c r="J32" s="32">
        <f>DATE(2025,1,1)+((I32-1)*30)</f>
        <v/>
      </c>
      <c r="K32" s="28" t="inlineStr">
        <is>
          <t>Planned</t>
        </is>
      </c>
    </row>
    <row r="33">
      <c r="A33" s="27" t="n">
        <v>27</v>
      </c>
      <c r="B33" s="28" t="inlineStr">
        <is>
          <t>2BR</t>
        </is>
      </c>
      <c r="C33" s="29" t="n">
        <v>10000</v>
      </c>
      <c r="D33" s="29" t="n">
        <v>13000</v>
      </c>
      <c r="E33" s="29" t="n">
        <v>6000</v>
      </c>
      <c r="F33" s="29" t="n">
        <v>2000</v>
      </c>
      <c r="G33" s="29" t="n">
        <v>2500</v>
      </c>
      <c r="H33" s="30">
        <f>SUM(C33:G33)</f>
        <v/>
      </c>
      <c r="I33" s="31">
        <f>ROUNDUP(A33/Inputs!$B$20,0)</f>
        <v/>
      </c>
      <c r="J33" s="32">
        <f>DATE(2025,1,1)+((I33-1)*30)</f>
        <v/>
      </c>
      <c r="K33" s="28" t="inlineStr">
        <is>
          <t>Planned</t>
        </is>
      </c>
    </row>
    <row r="34">
      <c r="A34" s="27" t="n">
        <v>28</v>
      </c>
      <c r="B34" s="28" t="inlineStr">
        <is>
          <t>2BR</t>
        </is>
      </c>
      <c r="C34" s="29" t="n">
        <v>10000</v>
      </c>
      <c r="D34" s="29" t="n">
        <v>13000</v>
      </c>
      <c r="E34" s="29" t="n">
        <v>6000</v>
      </c>
      <c r="F34" s="29" t="n">
        <v>2000</v>
      </c>
      <c r="G34" s="29" t="n">
        <v>2500</v>
      </c>
      <c r="H34" s="30">
        <f>SUM(C34:G34)</f>
        <v/>
      </c>
      <c r="I34" s="31">
        <f>ROUNDUP(A34/Inputs!$B$20,0)</f>
        <v/>
      </c>
      <c r="J34" s="32">
        <f>DATE(2025,1,1)+((I34-1)*30)</f>
        <v/>
      </c>
      <c r="K34" s="28" t="inlineStr">
        <is>
          <t>Planned</t>
        </is>
      </c>
    </row>
    <row r="35">
      <c r="A35" s="27" t="n">
        <v>29</v>
      </c>
      <c r="B35" s="28" t="inlineStr">
        <is>
          <t>2BR</t>
        </is>
      </c>
      <c r="C35" s="29" t="n">
        <v>10000</v>
      </c>
      <c r="D35" s="29" t="n">
        <v>13000</v>
      </c>
      <c r="E35" s="29" t="n">
        <v>6000</v>
      </c>
      <c r="F35" s="29" t="n">
        <v>2000</v>
      </c>
      <c r="G35" s="29" t="n">
        <v>2500</v>
      </c>
      <c r="H35" s="30">
        <f>SUM(C35:G35)</f>
        <v/>
      </c>
      <c r="I35" s="31">
        <f>ROUNDUP(A35/Inputs!$B$20,0)</f>
        <v/>
      </c>
      <c r="J35" s="32">
        <f>DATE(2025,1,1)+((I35-1)*30)</f>
        <v/>
      </c>
      <c r="K35" s="28" t="inlineStr">
        <is>
          <t>Planned</t>
        </is>
      </c>
    </row>
    <row r="36">
      <c r="A36" s="27" t="n">
        <v>30</v>
      </c>
      <c r="B36" s="28" t="inlineStr">
        <is>
          <t>3BR</t>
        </is>
      </c>
      <c r="C36" s="29" t="n">
        <v>12000</v>
      </c>
      <c r="D36" s="29" t="n">
        <v>19500</v>
      </c>
      <c r="E36" s="29" t="n">
        <v>7500</v>
      </c>
      <c r="F36" s="29" t="n">
        <v>2500</v>
      </c>
      <c r="G36" s="29" t="n">
        <v>2500</v>
      </c>
      <c r="H36" s="30">
        <f>SUM(C36:G36)</f>
        <v/>
      </c>
      <c r="I36" s="31">
        <f>ROUNDUP(A36/Inputs!$B$20,0)</f>
        <v/>
      </c>
      <c r="J36" s="32">
        <f>DATE(2025,1,1)+((I36-1)*30)</f>
        <v/>
      </c>
      <c r="K36" s="28" t="inlineStr">
        <is>
          <t>Planned</t>
        </is>
      </c>
    </row>
    <row r="37">
      <c r="A37" s="27" t="n">
        <v>31</v>
      </c>
      <c r="B37" s="28" t="inlineStr">
        <is>
          <t>1BR</t>
        </is>
      </c>
      <c r="C37" s="29" t="n">
        <v>8000</v>
      </c>
      <c r="D37" s="29" t="n">
        <v>6500</v>
      </c>
      <c r="E37" s="29" t="n">
        <v>4500</v>
      </c>
      <c r="F37" s="29" t="n">
        <v>1500</v>
      </c>
      <c r="G37" s="29" t="n">
        <v>2500</v>
      </c>
      <c r="H37" s="30">
        <f>SUM(C37:G37)</f>
        <v/>
      </c>
      <c r="I37" s="31">
        <f>ROUNDUP(A37/Inputs!$B$20,0)</f>
        <v/>
      </c>
      <c r="J37" s="32">
        <f>DATE(2025,1,1)+((I37-1)*30)</f>
        <v/>
      </c>
      <c r="K37" s="28" t="inlineStr">
        <is>
          <t>Planned</t>
        </is>
      </c>
    </row>
    <row r="38">
      <c r="A38" s="27" t="n">
        <v>32</v>
      </c>
      <c r="B38" s="28" t="inlineStr">
        <is>
          <t>1BR</t>
        </is>
      </c>
      <c r="C38" s="29" t="n">
        <v>8000</v>
      </c>
      <c r="D38" s="29" t="n">
        <v>6500</v>
      </c>
      <c r="E38" s="29" t="n">
        <v>4500</v>
      </c>
      <c r="F38" s="29" t="n">
        <v>1500</v>
      </c>
      <c r="G38" s="29" t="n">
        <v>2500</v>
      </c>
      <c r="H38" s="30">
        <f>SUM(C38:G38)</f>
        <v/>
      </c>
      <c r="I38" s="31">
        <f>ROUNDUP(A38/Inputs!$B$20,0)</f>
        <v/>
      </c>
      <c r="J38" s="32">
        <f>DATE(2025,1,1)+((I38-1)*30)</f>
        <v/>
      </c>
      <c r="K38" s="28" t="inlineStr">
        <is>
          <t>Planned</t>
        </is>
      </c>
    </row>
    <row r="39">
      <c r="A39" s="27" t="n">
        <v>33</v>
      </c>
      <c r="B39" s="28" t="inlineStr">
        <is>
          <t>2BR</t>
        </is>
      </c>
      <c r="C39" s="29" t="n">
        <v>10000</v>
      </c>
      <c r="D39" s="29" t="n">
        <v>13000</v>
      </c>
      <c r="E39" s="29" t="n">
        <v>6000</v>
      </c>
      <c r="F39" s="29" t="n">
        <v>2000</v>
      </c>
      <c r="G39" s="29" t="n">
        <v>2500</v>
      </c>
      <c r="H39" s="30">
        <f>SUM(C39:G39)</f>
        <v/>
      </c>
      <c r="I39" s="31">
        <f>ROUNDUP(A39/Inputs!$B$20,0)</f>
        <v/>
      </c>
      <c r="J39" s="32">
        <f>DATE(2025,1,1)+((I39-1)*30)</f>
        <v/>
      </c>
      <c r="K39" s="28" t="inlineStr">
        <is>
          <t>Planned</t>
        </is>
      </c>
    </row>
    <row r="40">
      <c r="A40" s="27" t="n">
        <v>34</v>
      </c>
      <c r="B40" s="28" t="inlineStr">
        <is>
          <t>2BR</t>
        </is>
      </c>
      <c r="C40" s="29" t="n">
        <v>10000</v>
      </c>
      <c r="D40" s="29" t="n">
        <v>13000</v>
      </c>
      <c r="E40" s="29" t="n">
        <v>6000</v>
      </c>
      <c r="F40" s="29" t="n">
        <v>2000</v>
      </c>
      <c r="G40" s="29" t="n">
        <v>2500</v>
      </c>
      <c r="H40" s="30">
        <f>SUM(C40:G40)</f>
        <v/>
      </c>
      <c r="I40" s="31">
        <f>ROUNDUP(A40/Inputs!$B$20,0)</f>
        <v/>
      </c>
      <c r="J40" s="32">
        <f>DATE(2025,1,1)+((I40-1)*30)</f>
        <v/>
      </c>
      <c r="K40" s="28" t="inlineStr">
        <is>
          <t>Planned</t>
        </is>
      </c>
    </row>
    <row r="41">
      <c r="A41" s="27" t="n">
        <v>35</v>
      </c>
      <c r="B41" s="28" t="inlineStr">
        <is>
          <t>2BR</t>
        </is>
      </c>
      <c r="C41" s="29" t="n">
        <v>10000</v>
      </c>
      <c r="D41" s="29" t="n">
        <v>13000</v>
      </c>
      <c r="E41" s="29" t="n">
        <v>6000</v>
      </c>
      <c r="F41" s="29" t="n">
        <v>2000</v>
      </c>
      <c r="G41" s="29" t="n">
        <v>2500</v>
      </c>
      <c r="H41" s="30">
        <f>SUM(C41:G41)</f>
        <v/>
      </c>
      <c r="I41" s="31">
        <f>ROUNDUP(A41/Inputs!$B$20,0)</f>
        <v/>
      </c>
      <c r="J41" s="32">
        <f>DATE(2025,1,1)+((I41-1)*30)</f>
        <v/>
      </c>
      <c r="K41" s="28" t="inlineStr">
        <is>
          <t>Planned</t>
        </is>
      </c>
    </row>
    <row r="42">
      <c r="A42" s="27" t="n">
        <v>36</v>
      </c>
      <c r="B42" s="28" t="inlineStr">
        <is>
          <t>3BR</t>
        </is>
      </c>
      <c r="C42" s="29" t="n">
        <v>12000</v>
      </c>
      <c r="D42" s="29" t="n">
        <v>19500</v>
      </c>
      <c r="E42" s="29" t="n">
        <v>7500</v>
      </c>
      <c r="F42" s="29" t="n">
        <v>2500</v>
      </c>
      <c r="G42" s="29" t="n">
        <v>2500</v>
      </c>
      <c r="H42" s="30">
        <f>SUM(C42:G42)</f>
        <v/>
      </c>
      <c r="I42" s="31">
        <f>ROUNDUP(A42/Inputs!$B$20,0)</f>
        <v/>
      </c>
      <c r="J42" s="32">
        <f>DATE(2025,1,1)+((I42-1)*30)</f>
        <v/>
      </c>
      <c r="K42" s="28" t="inlineStr">
        <is>
          <t>Planned</t>
        </is>
      </c>
    </row>
    <row r="43">
      <c r="A43" s="27" t="n">
        <v>37</v>
      </c>
      <c r="B43" s="28" t="inlineStr">
        <is>
          <t>1BR</t>
        </is>
      </c>
      <c r="C43" s="29" t="n">
        <v>8000</v>
      </c>
      <c r="D43" s="29" t="n">
        <v>6500</v>
      </c>
      <c r="E43" s="29" t="n">
        <v>4500</v>
      </c>
      <c r="F43" s="29" t="n">
        <v>1500</v>
      </c>
      <c r="G43" s="29" t="n">
        <v>2500</v>
      </c>
      <c r="H43" s="30">
        <f>SUM(C43:G43)</f>
        <v/>
      </c>
      <c r="I43" s="31">
        <f>ROUNDUP(A43/Inputs!$B$20,0)</f>
        <v/>
      </c>
      <c r="J43" s="32">
        <f>DATE(2025,1,1)+((I43-1)*30)</f>
        <v/>
      </c>
      <c r="K43" s="28" t="inlineStr">
        <is>
          <t>Planned</t>
        </is>
      </c>
    </row>
    <row r="44">
      <c r="A44" s="27" t="n">
        <v>38</v>
      </c>
      <c r="B44" s="28" t="inlineStr">
        <is>
          <t>1BR</t>
        </is>
      </c>
      <c r="C44" s="29" t="n">
        <v>8000</v>
      </c>
      <c r="D44" s="29" t="n">
        <v>6500</v>
      </c>
      <c r="E44" s="29" t="n">
        <v>4500</v>
      </c>
      <c r="F44" s="29" t="n">
        <v>1500</v>
      </c>
      <c r="G44" s="29" t="n">
        <v>2500</v>
      </c>
      <c r="H44" s="30">
        <f>SUM(C44:G44)</f>
        <v/>
      </c>
      <c r="I44" s="31">
        <f>ROUNDUP(A44/Inputs!$B$20,0)</f>
        <v/>
      </c>
      <c r="J44" s="32">
        <f>DATE(2025,1,1)+((I44-1)*30)</f>
        <v/>
      </c>
      <c r="K44" s="28" t="inlineStr">
        <is>
          <t>Planned</t>
        </is>
      </c>
    </row>
    <row r="45">
      <c r="A45" s="27" t="n">
        <v>39</v>
      </c>
      <c r="B45" s="28" t="inlineStr">
        <is>
          <t>2BR</t>
        </is>
      </c>
      <c r="C45" s="29" t="n">
        <v>10000</v>
      </c>
      <c r="D45" s="29" t="n">
        <v>13000</v>
      </c>
      <c r="E45" s="29" t="n">
        <v>6000</v>
      </c>
      <c r="F45" s="29" t="n">
        <v>2000</v>
      </c>
      <c r="G45" s="29" t="n">
        <v>2500</v>
      </c>
      <c r="H45" s="30">
        <f>SUM(C45:G45)</f>
        <v/>
      </c>
      <c r="I45" s="31">
        <f>ROUNDUP(A45/Inputs!$B$20,0)</f>
        <v/>
      </c>
      <c r="J45" s="32">
        <f>DATE(2025,1,1)+((I45-1)*30)</f>
        <v/>
      </c>
      <c r="K45" s="28" t="inlineStr">
        <is>
          <t>Planned</t>
        </is>
      </c>
    </row>
    <row r="46">
      <c r="A46" s="27" t="n">
        <v>40</v>
      </c>
      <c r="B46" s="28" t="inlineStr">
        <is>
          <t>2BR</t>
        </is>
      </c>
      <c r="C46" s="29" t="n">
        <v>10000</v>
      </c>
      <c r="D46" s="29" t="n">
        <v>13000</v>
      </c>
      <c r="E46" s="29" t="n">
        <v>6000</v>
      </c>
      <c r="F46" s="29" t="n">
        <v>2000</v>
      </c>
      <c r="G46" s="29" t="n">
        <v>2500</v>
      </c>
      <c r="H46" s="30">
        <f>SUM(C46:G46)</f>
        <v/>
      </c>
      <c r="I46" s="31">
        <f>ROUNDUP(A46/Inputs!$B$20,0)</f>
        <v/>
      </c>
      <c r="J46" s="32">
        <f>DATE(2025,1,1)+((I46-1)*30)</f>
        <v/>
      </c>
      <c r="K46" s="28" t="inlineStr">
        <is>
          <t>Planned</t>
        </is>
      </c>
    </row>
    <row r="47">
      <c r="A47" s="27" t="n">
        <v>41</v>
      </c>
      <c r="B47" s="28" t="inlineStr">
        <is>
          <t>2BR</t>
        </is>
      </c>
      <c r="C47" s="29" t="n">
        <v>10000</v>
      </c>
      <c r="D47" s="29" t="n">
        <v>13000</v>
      </c>
      <c r="E47" s="29" t="n">
        <v>6000</v>
      </c>
      <c r="F47" s="29" t="n">
        <v>2000</v>
      </c>
      <c r="G47" s="29" t="n">
        <v>2500</v>
      </c>
      <c r="H47" s="30">
        <f>SUM(C47:G47)</f>
        <v/>
      </c>
      <c r="I47" s="31">
        <f>ROUNDUP(A47/Inputs!$B$20,0)</f>
        <v/>
      </c>
      <c r="J47" s="32">
        <f>DATE(2025,1,1)+((I47-1)*30)</f>
        <v/>
      </c>
      <c r="K47" s="28" t="inlineStr">
        <is>
          <t>Planned</t>
        </is>
      </c>
    </row>
    <row r="48">
      <c r="A48" s="27" t="n">
        <v>42</v>
      </c>
      <c r="B48" s="28" t="inlineStr">
        <is>
          <t>3BR</t>
        </is>
      </c>
      <c r="C48" s="29" t="n">
        <v>12000</v>
      </c>
      <c r="D48" s="29" t="n">
        <v>19500</v>
      </c>
      <c r="E48" s="29" t="n">
        <v>7500</v>
      </c>
      <c r="F48" s="29" t="n">
        <v>2500</v>
      </c>
      <c r="G48" s="29" t="n">
        <v>2500</v>
      </c>
      <c r="H48" s="30">
        <f>SUM(C48:G48)</f>
        <v/>
      </c>
      <c r="I48" s="31">
        <f>ROUNDUP(A48/Inputs!$B$20,0)</f>
        <v/>
      </c>
      <c r="J48" s="32">
        <f>DATE(2025,1,1)+((I48-1)*30)</f>
        <v/>
      </c>
      <c r="K48" s="28" t="inlineStr">
        <is>
          <t>Planned</t>
        </is>
      </c>
    </row>
    <row r="49">
      <c r="A49" s="27" t="n">
        <v>43</v>
      </c>
      <c r="B49" s="28" t="inlineStr">
        <is>
          <t>1BR</t>
        </is>
      </c>
      <c r="C49" s="29" t="n">
        <v>8000</v>
      </c>
      <c r="D49" s="29" t="n">
        <v>6500</v>
      </c>
      <c r="E49" s="29" t="n">
        <v>4500</v>
      </c>
      <c r="F49" s="29" t="n">
        <v>1500</v>
      </c>
      <c r="G49" s="29" t="n">
        <v>2500</v>
      </c>
      <c r="H49" s="30">
        <f>SUM(C49:G49)</f>
        <v/>
      </c>
      <c r="I49" s="31">
        <f>ROUNDUP(A49/Inputs!$B$20,0)</f>
        <v/>
      </c>
      <c r="J49" s="32">
        <f>DATE(2025,1,1)+((I49-1)*30)</f>
        <v/>
      </c>
      <c r="K49" s="28" t="inlineStr">
        <is>
          <t>Planned</t>
        </is>
      </c>
    </row>
    <row r="50">
      <c r="A50" s="27" t="n">
        <v>44</v>
      </c>
      <c r="B50" s="28" t="inlineStr">
        <is>
          <t>1BR</t>
        </is>
      </c>
      <c r="C50" s="29" t="n">
        <v>8000</v>
      </c>
      <c r="D50" s="29" t="n">
        <v>6500</v>
      </c>
      <c r="E50" s="29" t="n">
        <v>4500</v>
      </c>
      <c r="F50" s="29" t="n">
        <v>1500</v>
      </c>
      <c r="G50" s="29" t="n">
        <v>2500</v>
      </c>
      <c r="H50" s="30">
        <f>SUM(C50:G50)</f>
        <v/>
      </c>
      <c r="I50" s="31">
        <f>ROUNDUP(A50/Inputs!$B$20,0)</f>
        <v/>
      </c>
      <c r="J50" s="32">
        <f>DATE(2025,1,1)+((I50-1)*30)</f>
        <v/>
      </c>
      <c r="K50" s="28" t="inlineStr">
        <is>
          <t>Planned</t>
        </is>
      </c>
    </row>
    <row r="51">
      <c r="A51" s="27" t="n">
        <v>45</v>
      </c>
      <c r="B51" s="28" t="inlineStr">
        <is>
          <t>2BR</t>
        </is>
      </c>
      <c r="C51" s="29" t="n">
        <v>10000</v>
      </c>
      <c r="D51" s="29" t="n">
        <v>13000</v>
      </c>
      <c r="E51" s="29" t="n">
        <v>6000</v>
      </c>
      <c r="F51" s="29" t="n">
        <v>2000</v>
      </c>
      <c r="G51" s="29" t="n">
        <v>2500</v>
      </c>
      <c r="H51" s="30">
        <f>SUM(C51:G51)</f>
        <v/>
      </c>
      <c r="I51" s="31">
        <f>ROUNDUP(A51/Inputs!$B$20,0)</f>
        <v/>
      </c>
      <c r="J51" s="32">
        <f>DATE(2025,1,1)+((I51-1)*30)</f>
        <v/>
      </c>
      <c r="K51" s="28" t="inlineStr">
        <is>
          <t>Planned</t>
        </is>
      </c>
    </row>
    <row r="52">
      <c r="A52" s="27" t="n">
        <v>46</v>
      </c>
      <c r="B52" s="28" t="inlineStr">
        <is>
          <t>2BR</t>
        </is>
      </c>
      <c r="C52" s="29" t="n">
        <v>10000</v>
      </c>
      <c r="D52" s="29" t="n">
        <v>13000</v>
      </c>
      <c r="E52" s="29" t="n">
        <v>6000</v>
      </c>
      <c r="F52" s="29" t="n">
        <v>2000</v>
      </c>
      <c r="G52" s="29" t="n">
        <v>2500</v>
      </c>
      <c r="H52" s="30">
        <f>SUM(C52:G52)</f>
        <v/>
      </c>
      <c r="I52" s="31">
        <f>ROUNDUP(A52/Inputs!$B$20,0)</f>
        <v/>
      </c>
      <c r="J52" s="32">
        <f>DATE(2025,1,1)+((I52-1)*30)</f>
        <v/>
      </c>
      <c r="K52" s="28" t="inlineStr">
        <is>
          <t>Planned</t>
        </is>
      </c>
    </row>
    <row r="53">
      <c r="A53" s="27" t="n">
        <v>47</v>
      </c>
      <c r="B53" s="28" t="inlineStr">
        <is>
          <t>2BR</t>
        </is>
      </c>
      <c r="C53" s="29" t="n">
        <v>10000</v>
      </c>
      <c r="D53" s="29" t="n">
        <v>13000</v>
      </c>
      <c r="E53" s="29" t="n">
        <v>6000</v>
      </c>
      <c r="F53" s="29" t="n">
        <v>2000</v>
      </c>
      <c r="G53" s="29" t="n">
        <v>2500</v>
      </c>
      <c r="H53" s="30">
        <f>SUM(C53:G53)</f>
        <v/>
      </c>
      <c r="I53" s="31">
        <f>ROUNDUP(A53/Inputs!$B$20,0)</f>
        <v/>
      </c>
      <c r="J53" s="32">
        <f>DATE(2025,1,1)+((I53-1)*30)</f>
        <v/>
      </c>
      <c r="K53" s="28" t="inlineStr">
        <is>
          <t>Planned</t>
        </is>
      </c>
    </row>
    <row r="54">
      <c r="A54" s="27" t="n">
        <v>48</v>
      </c>
      <c r="B54" s="28" t="inlineStr">
        <is>
          <t>3BR</t>
        </is>
      </c>
      <c r="C54" s="29" t="n">
        <v>12000</v>
      </c>
      <c r="D54" s="29" t="n">
        <v>19500</v>
      </c>
      <c r="E54" s="29" t="n">
        <v>7500</v>
      </c>
      <c r="F54" s="29" t="n">
        <v>2500</v>
      </c>
      <c r="G54" s="29" t="n">
        <v>2500</v>
      </c>
      <c r="H54" s="30">
        <f>SUM(C54:G54)</f>
        <v/>
      </c>
      <c r="I54" s="31">
        <f>ROUNDUP(A54/Inputs!$B$20,0)</f>
        <v/>
      </c>
      <c r="J54" s="32">
        <f>DATE(2025,1,1)+((I54-1)*30)</f>
        <v/>
      </c>
      <c r="K54" s="28" t="inlineStr">
        <is>
          <t>Planned</t>
        </is>
      </c>
    </row>
    <row r="55">
      <c r="A55" s="27" t="n">
        <v>49</v>
      </c>
      <c r="B55" s="28" t="inlineStr">
        <is>
          <t>1BR</t>
        </is>
      </c>
      <c r="C55" s="29" t="n">
        <v>8000</v>
      </c>
      <c r="D55" s="29" t="n">
        <v>6500</v>
      </c>
      <c r="E55" s="29" t="n">
        <v>4500</v>
      </c>
      <c r="F55" s="29" t="n">
        <v>1500</v>
      </c>
      <c r="G55" s="29" t="n">
        <v>2500</v>
      </c>
      <c r="H55" s="30">
        <f>SUM(C55:G55)</f>
        <v/>
      </c>
      <c r="I55" s="31">
        <f>ROUNDUP(A55/Inputs!$B$20,0)</f>
        <v/>
      </c>
      <c r="J55" s="32">
        <f>DATE(2025,1,1)+((I55-1)*30)</f>
        <v/>
      </c>
      <c r="K55" s="28" t="inlineStr">
        <is>
          <t>Planned</t>
        </is>
      </c>
    </row>
    <row r="56">
      <c r="A56" s="27" t="n">
        <v>50</v>
      </c>
      <c r="B56" s="28" t="inlineStr">
        <is>
          <t>1BR</t>
        </is>
      </c>
      <c r="C56" s="29" t="n">
        <v>8000</v>
      </c>
      <c r="D56" s="29" t="n">
        <v>6500</v>
      </c>
      <c r="E56" s="29" t="n">
        <v>4500</v>
      </c>
      <c r="F56" s="29" t="n">
        <v>1500</v>
      </c>
      <c r="G56" s="29" t="n">
        <v>2500</v>
      </c>
      <c r="H56" s="30">
        <f>SUM(C56:G56)</f>
        <v/>
      </c>
      <c r="I56" s="31">
        <f>ROUNDUP(A56/Inputs!$B$20,0)</f>
        <v/>
      </c>
      <c r="J56" s="32">
        <f>DATE(2025,1,1)+((I56-1)*30)</f>
        <v/>
      </c>
      <c r="K56" s="28" t="inlineStr">
        <is>
          <t>Planned</t>
        </is>
      </c>
    </row>
    <row r="58">
      <c r="A58" s="33" t="inlineStr">
        <is>
          <t>CATEGORY TOTALS</t>
        </is>
      </c>
    </row>
    <row r="59">
      <c r="A59" s="4" t="inlineStr">
        <is>
          <t>Kitchen Renovations</t>
        </is>
      </c>
      <c r="C59" s="11">
        <f>SUM(C7:C56)</f>
        <v/>
      </c>
      <c r="D59" s="12">
        <f>C10/C100</f>
        <v/>
      </c>
      <c r="E59" s="11">
        <f>C10/Inputs!$B$4</f>
        <v/>
      </c>
    </row>
    <row r="60">
      <c r="A60" s="4" t="inlineStr">
        <is>
          <t>Bathroom Renovations</t>
        </is>
      </c>
      <c r="C60" s="11">
        <f>SUM(D7:D56)</f>
        <v/>
      </c>
      <c r="D60" s="12">
        <f>C20/C100</f>
        <v/>
      </c>
      <c r="E60" s="11">
        <f>C20/Inputs!$B$4</f>
        <v/>
      </c>
    </row>
    <row r="61">
      <c r="A61" s="4" t="inlineStr">
        <is>
          <t>Flooring</t>
        </is>
      </c>
      <c r="C61" s="11">
        <f>SUM(E7:E56)</f>
        <v/>
      </c>
      <c r="D61" s="12">
        <f>C30/C100</f>
        <v/>
      </c>
      <c r="E61" s="11">
        <f>C30/Inputs!$B$4</f>
        <v/>
      </c>
    </row>
    <row r="62">
      <c r="A62" s="4" t="inlineStr">
        <is>
          <t>Paint &amp; Finishes</t>
        </is>
      </c>
      <c r="C62" s="11">
        <f>SUM(F7:F56)</f>
        <v/>
      </c>
      <c r="D62" s="12">
        <f>C40/C100</f>
        <v/>
      </c>
      <c r="E62" s="11">
        <f>C40/Inputs!$B$4</f>
        <v/>
      </c>
    </row>
    <row r="63">
      <c r="A63" s="4" t="inlineStr">
        <is>
          <t>Appliances &amp; Fixtures</t>
        </is>
      </c>
      <c r="C63" s="11">
        <f>SUM(G7:G56)</f>
        <v/>
      </c>
      <c r="D63" s="12">
        <f>C50/C100</f>
        <v/>
      </c>
      <c r="E63" s="11">
        <f>C50/Inputs!$B$4</f>
        <v/>
      </c>
    </row>
    <row r="64">
      <c r="A64" s="4" t="inlineStr">
        <is>
          <t>Exterior Improvements</t>
        </is>
      </c>
      <c r="B64" s="34" t="inlineStr">
        <is>
          <t>Enter lump sum amount</t>
        </is>
      </c>
      <c r="C64" s="18" t="n">
        <v>50000</v>
      </c>
      <c r="D64" s="12">
        <f>C60/C100</f>
        <v/>
      </c>
      <c r="E64" s="11">
        <f>C60/Inputs!$B$4</f>
        <v/>
      </c>
    </row>
    <row r="65">
      <c r="A65" s="4" t="inlineStr">
        <is>
          <t>Common Areas</t>
        </is>
      </c>
      <c r="B65" s="34" t="inlineStr">
        <is>
          <t>Enter lump sum amount</t>
        </is>
      </c>
      <c r="C65" s="18" t="n">
        <v>75000</v>
      </c>
      <c r="D65" s="12">
        <f>C70/C100</f>
        <v/>
      </c>
      <c r="E65" s="11">
        <f>C70/Inputs!$B$4</f>
        <v/>
      </c>
    </row>
    <row r="67">
      <c r="A67" s="3" t="inlineStr">
        <is>
          <t>TOTAL RENOVATION BUDGET</t>
        </is>
      </c>
    </row>
    <row r="68">
      <c r="A68" s="4" t="inlineStr">
        <is>
          <t>Base Renovation Cost:</t>
        </is>
      </c>
      <c r="C68" s="11">
        <f>C59+C60+C61+C62+C63+C64+C65</f>
        <v/>
      </c>
    </row>
    <row r="69">
      <c r="A69" s="4" t="inlineStr">
        <is>
          <t>Cost per Unit:</t>
        </is>
      </c>
      <c r="C69" s="11">
        <f>C68/Inputs!$B$4</f>
        <v/>
      </c>
    </row>
    <row r="70">
      <c r="A70" s="4" t="inlineStr">
        <is>
          <t>Cost per SF:</t>
        </is>
      </c>
      <c r="C70" s="35">
        <f>C68/(Inputs!$B$4*Inputs!$B$6)</f>
        <v/>
      </c>
    </row>
    <row r="71">
      <c r="A71" s="4" t="inlineStr">
        <is>
          <t>Contingency Reserve (10%):</t>
        </is>
      </c>
      <c r="C71" s="11">
        <f>C68*0.10</f>
        <v/>
      </c>
    </row>
    <row r="72">
      <c r="A72" s="36" t="inlineStr">
        <is>
          <t>ALL-IN BUDGET:</t>
        </is>
      </c>
      <c r="C72" s="37">
        <f>C68*1.10</f>
        <v/>
      </c>
    </row>
  </sheetData>
  <mergeCells count="5">
    <mergeCell ref="A4:K4"/>
    <mergeCell ref="A2:K2"/>
    <mergeCell ref="A67:B67"/>
    <mergeCell ref="A1:K1"/>
    <mergeCell ref="A58:B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4" t="inlineStr">
        <is>
          <t>PHASED RENOVATION SCHEDULE</t>
        </is>
      </c>
    </row>
    <row r="2">
      <c r="A2" s="20" t="inlineStr">
        <is>
          <t>Stagger renovation work to maintain occupancy and cash flow</t>
        </is>
      </c>
    </row>
    <row r="4">
      <c r="A4" s="3" t="inlineStr">
        <is>
          <t>PROJECT OVERVIEW</t>
        </is>
      </c>
    </row>
    <row r="5">
      <c r="A5" s="4" t="inlineStr">
        <is>
          <t>Total Units to Renovate:</t>
        </is>
      </c>
      <c r="B5" s="38">
        <f>Inputs!B4</f>
        <v/>
      </c>
    </row>
    <row r="6">
      <c r="A6" s="4" t="inlineStr">
        <is>
          <t>Units per Phase:</t>
        </is>
      </c>
      <c r="B6" s="38">
        <f>Inputs!B20</f>
        <v/>
      </c>
    </row>
    <row r="7">
      <c r="A7" s="4" t="inlineStr">
        <is>
          <t>Number of Phases:</t>
        </is>
      </c>
      <c r="B7" s="38">
        <f>ROUNDUP(B5/B6,0)</f>
        <v/>
      </c>
    </row>
    <row r="8">
      <c r="A8" s="4" t="inlineStr">
        <is>
          <t>Days per Unit:</t>
        </is>
      </c>
      <c r="B8" s="38">
        <f>Inputs!B21</f>
        <v/>
      </c>
    </row>
    <row r="9">
      <c r="A9" s="4" t="inlineStr">
        <is>
          <t>Total Project Duration (months):</t>
        </is>
      </c>
      <c r="B9" s="38">
        <f>Inputs!B19</f>
        <v/>
      </c>
    </row>
    <row r="11">
      <c r="A11" s="3" t="inlineStr">
        <is>
          <t>PHASE BREAKDOWN</t>
        </is>
      </c>
    </row>
    <row r="12">
      <c r="A12" s="39" t="inlineStr">
        <is>
          <t>Phase</t>
        </is>
      </c>
      <c r="B12" s="39" t="inlineStr">
        <is>
          <t>Start Date</t>
        </is>
      </c>
      <c r="C12" s="39" t="inlineStr">
        <is>
          <t>End Date</t>
        </is>
      </c>
      <c r="D12" s="39" t="inlineStr">
        <is>
          <t>Units</t>
        </is>
      </c>
      <c r="E12" s="39" t="inlineStr">
        <is>
          <t>Cost</t>
        </is>
      </c>
      <c r="F12" s="39" t="inlineStr">
        <is>
          <t>Lost Rent</t>
        </is>
      </c>
      <c r="G12" s="39" t="inlineStr">
        <is>
          <t>Holding Costs</t>
        </is>
      </c>
      <c r="H12" s="39" t="inlineStr">
        <is>
          <t>Total Cash Out</t>
        </is>
      </c>
    </row>
    <row r="13">
      <c r="A13" s="27" t="n">
        <v>1</v>
      </c>
      <c r="B13" s="32">
        <f>DATE(2025,1,1)+((A13-1)*30)</f>
        <v/>
      </c>
      <c r="C13" s="32">
        <f>B13+Inputs!$B$20*Inputs!$B$21</f>
        <v/>
      </c>
      <c r="D13" s="31">
        <f>Inputs!$B$20</f>
        <v/>
      </c>
      <c r="E13" s="30">
        <f>SUMIF('Unit-Level Budget'!$I$7:$I$56,A13,'Unit-Level Budget'!$H$7:$H$56)</f>
        <v/>
      </c>
      <c r="F13" s="30">
        <f>(Inputs!$B$10*Inputs!$B$22/30)*Inputs!$B$20</f>
        <v/>
      </c>
      <c r="G13" s="30">
        <f>(=(C13-B13)/30)*(Inputs!$B$24+Inputs!$B$25+Inputs!$B$26)</f>
        <v/>
      </c>
      <c r="H13" s="30">
        <f>E13+F13+G13</f>
        <v/>
      </c>
    </row>
    <row r="14">
      <c r="A14" s="27" t="n">
        <v>2</v>
      </c>
      <c r="B14" s="32">
        <f>DATE(2025,1,1)+((A14-1)*30)</f>
        <v/>
      </c>
      <c r="C14" s="32">
        <f>B14+Inputs!$B$20*Inputs!$B$21</f>
        <v/>
      </c>
      <c r="D14" s="31">
        <f>Inputs!$B$20</f>
        <v/>
      </c>
      <c r="E14" s="30">
        <f>SUMIF('Unit-Level Budget'!$I$7:$I$56,A14,'Unit-Level Budget'!$H$7:$H$56)</f>
        <v/>
      </c>
      <c r="F14" s="30">
        <f>(Inputs!$B$10*Inputs!$B$22/30)*Inputs!$B$20</f>
        <v/>
      </c>
      <c r="G14" s="30">
        <f>(=(C14-B14)/30)*(Inputs!$B$24+Inputs!$B$25+Inputs!$B$26)</f>
        <v/>
      </c>
      <c r="H14" s="30">
        <f>E14+F14+G14</f>
        <v/>
      </c>
    </row>
    <row r="15">
      <c r="A15" s="27" t="n">
        <v>3</v>
      </c>
      <c r="B15" s="32">
        <f>DATE(2025,1,1)+((A15-1)*30)</f>
        <v/>
      </c>
      <c r="C15" s="32">
        <f>B15+Inputs!$B$20*Inputs!$B$21</f>
        <v/>
      </c>
      <c r="D15" s="31">
        <f>Inputs!$B$20</f>
        <v/>
      </c>
      <c r="E15" s="30">
        <f>SUMIF('Unit-Level Budget'!$I$7:$I$56,A15,'Unit-Level Budget'!$H$7:$H$56)</f>
        <v/>
      </c>
      <c r="F15" s="30">
        <f>(Inputs!$B$10*Inputs!$B$22/30)*Inputs!$B$20</f>
        <v/>
      </c>
      <c r="G15" s="30">
        <f>(=(C15-B15)/30)*(Inputs!$B$24+Inputs!$B$25+Inputs!$B$26)</f>
        <v/>
      </c>
      <c r="H15" s="30">
        <f>E15+F15+G15</f>
        <v/>
      </c>
    </row>
    <row r="16">
      <c r="A16" s="27" t="n">
        <v>4</v>
      </c>
      <c r="B16" s="32">
        <f>DATE(2025,1,1)+((A16-1)*30)</f>
        <v/>
      </c>
      <c r="C16" s="32">
        <f>B16+Inputs!$B$20*Inputs!$B$21</f>
        <v/>
      </c>
      <c r="D16" s="31">
        <f>Inputs!$B$20</f>
        <v/>
      </c>
      <c r="E16" s="30">
        <f>SUMIF('Unit-Level Budget'!$I$7:$I$56,A16,'Unit-Level Budget'!$H$7:$H$56)</f>
        <v/>
      </c>
      <c r="F16" s="30">
        <f>(Inputs!$B$10*Inputs!$B$22/30)*Inputs!$B$20</f>
        <v/>
      </c>
      <c r="G16" s="30">
        <f>(=(C16-B16)/30)*(Inputs!$B$24+Inputs!$B$25+Inputs!$B$26)</f>
        <v/>
      </c>
      <c r="H16" s="30">
        <f>E16+F16+G16</f>
        <v/>
      </c>
    </row>
    <row r="17">
      <c r="A17" s="27" t="n">
        <v>5</v>
      </c>
      <c r="B17" s="32">
        <f>DATE(2025,1,1)+((A17-1)*30)</f>
        <v/>
      </c>
      <c r="C17" s="32">
        <f>B17+Inputs!$B$20*Inputs!$B$21</f>
        <v/>
      </c>
      <c r="D17" s="31">
        <f>Inputs!$B$20</f>
        <v/>
      </c>
      <c r="E17" s="30">
        <f>SUMIF('Unit-Level Budget'!$I$7:$I$56,A17,'Unit-Level Budget'!$H$7:$H$56)</f>
        <v/>
      </c>
      <c r="F17" s="30">
        <f>(Inputs!$B$10*Inputs!$B$22/30)*Inputs!$B$20</f>
        <v/>
      </c>
      <c r="G17" s="30">
        <f>(=(C17-B17)/30)*(Inputs!$B$24+Inputs!$B$25+Inputs!$B$26)</f>
        <v/>
      </c>
      <c r="H17" s="30">
        <f>E17+F17+G17</f>
        <v/>
      </c>
    </row>
    <row r="18">
      <c r="A18" s="40" t="inlineStr">
        <is>
          <t>TOTALS</t>
        </is>
      </c>
      <c r="B18" s="41" t="n"/>
      <c r="C18" s="41" t="n"/>
      <c r="D18" s="42">
        <f>SUM(D13:D17)</f>
        <v/>
      </c>
      <c r="E18" s="43">
        <f>SUM(E13:E17)</f>
        <v/>
      </c>
      <c r="F18" s="43">
        <f>SUM(F13:F17)</f>
        <v/>
      </c>
      <c r="G18" s="43">
        <f>SUM(G13:G17)</f>
        <v/>
      </c>
      <c r="H18" s="44">
        <f>SUM(H13:H17)</f>
        <v/>
      </c>
    </row>
    <row r="21">
      <c r="A21" s="3" t="inlineStr">
        <is>
          <t>CASH FLOW IMPACT ANALYSIS</t>
        </is>
      </c>
    </row>
    <row r="22">
      <c r="A22" s="10" t="inlineStr">
        <is>
          <t>Total Renovation Cost:</t>
        </is>
      </c>
      <c r="B22" s="11">
        <f>'Unit-Level Budget'!C68</f>
        <v/>
      </c>
    </row>
    <row r="23">
      <c r="A23" s="10" t="inlineStr">
        <is>
          <t>Total Lost Rent:</t>
        </is>
      </c>
      <c r="B23" s="11">
        <f>F15</f>
        <v/>
      </c>
    </row>
    <row r="24">
      <c r="A24" s="10" t="inlineStr">
        <is>
          <t>Total Holding Costs:</t>
        </is>
      </c>
      <c r="B24" s="11">
        <f>G15</f>
        <v/>
      </c>
    </row>
    <row r="25">
      <c r="A25" s="4" t="inlineStr">
        <is>
          <t>TOTAL CAPITAL REQUIRED:</t>
        </is>
      </c>
      <c r="B25" s="45">
        <f>B22+B23+B24</f>
        <v/>
      </c>
    </row>
    <row r="27">
      <c r="A27" s="10" t="inlineStr">
        <is>
          <t>Annual Rent Increase (stabilized):</t>
        </is>
      </c>
      <c r="B27" s="11">
        <f>(Inputs!B11-Inputs!B10)*12*Inputs!B4</f>
        <v/>
      </c>
    </row>
    <row r="28">
      <c r="A28" s="10" t="inlineStr">
        <is>
          <t>Annual NOI Increase:</t>
        </is>
      </c>
      <c r="B28" s="11">
        <f>B{row+5}*Inputs!B16</f>
        <v/>
      </c>
    </row>
    <row r="29">
      <c r="A29" s="10" t="inlineStr">
        <is>
          <t>Property Value Creation:</t>
        </is>
      </c>
      <c r="B29" s="11">
        <f>B{row+6}/Inputs!B15</f>
        <v/>
      </c>
    </row>
    <row r="31">
      <c r="A31" s="4" t="inlineStr">
        <is>
          <t>Net Value Created:</t>
        </is>
      </c>
      <c r="B31" s="45">
        <f>B{row+7}-B{row+3}</f>
        <v/>
      </c>
    </row>
    <row r="32">
      <c r="A32" s="4" t="inlineStr">
        <is>
          <t>ROI on Total Investment:</t>
        </is>
      </c>
      <c r="B32" s="12">
        <f>B{row+9}/B{row+3}</f>
        <v/>
      </c>
    </row>
    <row r="33">
      <c r="A33" s="10" t="inlineStr">
        <is>
          <t>Cash-on-Cash Return (Year 1):</t>
        </is>
      </c>
      <c r="B33" s="12">
        <f>B{row+6}/B{row+3}</f>
        <v/>
      </c>
    </row>
  </sheetData>
  <mergeCells count="5">
    <mergeCell ref="A4:H4"/>
    <mergeCell ref="A21:H21"/>
    <mergeCell ref="A2:H2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2025-11-04T09:16:03Z</dcterms:created>
  <dcterms:modified xmlns:dcterms="http://purl.org/dc/terms/" xmlns:xsi="http://www.w3.org/2001/XMLSchema-instance" xsi:type="dcterms:W3CDTF">2025-11-04T09:21:11Z</dcterms:modified>
</cp:coreProperties>
</file>