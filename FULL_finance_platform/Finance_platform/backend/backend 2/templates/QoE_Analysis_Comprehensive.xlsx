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ported Financials" sheetId="2" state="visible" r:id="rId2"/>
    <sheet xmlns:r="http://schemas.openxmlformats.org/officeDocument/2006/relationships" name="EBITDA Bridge" sheetId="3" state="visible" r:id="rId3"/>
    <sheet xmlns:r="http://schemas.openxmlformats.org/officeDocument/2006/relationships" name="Adjustment Details" sheetId="4" state="visible" r:id="rId4"/>
    <sheet xmlns:r="http://schemas.openxmlformats.org/officeDocument/2006/relationships" name="Revenue Analysis" sheetId="5" state="visible" r:id="rId5"/>
    <sheet xmlns:r="http://schemas.openxmlformats.org/officeDocument/2006/relationships" name="Customer Concentration" sheetId="6" state="visible" r:id="rId6"/>
    <sheet xmlns:r="http://schemas.openxmlformats.org/officeDocument/2006/relationships" name="Working Capital" sheetId="7" state="visible" r:id="rId7"/>
    <sheet xmlns:r="http://schemas.openxmlformats.org/officeDocument/2006/relationships" name="Proof of Cash" sheetId="8" state="visible" r:id="rId8"/>
    <sheet xmlns:r="http://schemas.openxmlformats.org/officeDocument/2006/relationships" name="Integration with Models" sheetId="9" state="visible" r:id="rId9"/>
    <sheet xmlns:r="http://schemas.openxmlformats.org/officeDocument/2006/relationships" name="Key Find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$#,##0;($#,##0);-"/>
    <numFmt numFmtId="166" formatCode="0.0%"/>
  </numFmts>
  <fonts count="15">
    <font>
      <name val="Calibri"/>
      <family val="2"/>
      <color theme="1"/>
      <sz val="11"/>
      <scheme val="minor"/>
    </font>
    <font>
      <b val="1"/>
      <color rgb="00366092"/>
      <sz val="16"/>
    </font>
    <font>
      <b val="1"/>
      <color rgb="00000000"/>
      <sz val="11"/>
    </font>
    <font>
      <color rgb="000000FF"/>
    </font>
    <font>
      <b val="1"/>
      <color rgb="00FFFFFF"/>
      <sz val="12"/>
    </font>
    <font>
      <b val="1"/>
    </font>
    <font>
      <color rgb="00008000"/>
    </font>
    <font>
      <b val="1"/>
      <color rgb="00366092"/>
      <sz val="14"/>
    </font>
    <font>
      <i val="1"/>
      <sz val="9"/>
    </font>
    <font>
      <color rgb="00000000"/>
    </font>
    <font>
      <b val="1"/>
      <sz val="12"/>
    </font>
    <font>
      <i val="1"/>
      <color rgb="00FF0000"/>
      <sz val="9"/>
    </font>
    <font>
      <b val="1"/>
      <sz val="11"/>
    </font>
    <font>
      <sz val="8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3" borderId="0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3" fillId="0" borderId="0" pivotButton="0" quotePrefix="0" xfId="0"/>
    <xf numFmtId="165" fontId="9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0" fillId="6" borderId="0" pivotButton="0" quotePrefix="0" xfId="0"/>
    <xf numFmtId="165" fontId="6" fillId="6" borderId="0" pivotButton="0" quotePrefix="0" xfId="0"/>
    <xf numFmtId="0" fontId="0" fillId="6" borderId="0" pivotButton="0" quotePrefix="0" xfId="0"/>
    <xf numFmtId="165" fontId="9" fillId="6" borderId="0" pivotButton="0" quotePrefix="0" xfId="0"/>
    <xf numFmtId="166" fontId="9" fillId="0" borderId="0" pivotButton="0" quotePrefix="0" xfId="0"/>
    <xf numFmtId="0" fontId="11" fillId="0" borderId="0" pivotButton="0" quotePrefix="0" xfId="0"/>
    <xf numFmtId="0" fontId="12" fillId="2" borderId="0" pivotButton="0" quotePrefix="0" xfId="0"/>
    <xf numFmtId="166" fontId="3" fillId="0" borderId="0" pivotButton="0" quotePrefix="0" xfId="0"/>
    <xf numFmtId="0" fontId="9" fillId="0" borderId="0" pivotButton="0" quotePrefix="0" xfId="0"/>
    <xf numFmtId="1" fontId="9" fillId="0" borderId="0" pivotButton="0" quotePrefix="0" xfId="0"/>
    <xf numFmtId="165" fontId="6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4" fillId="4" borderId="0" pivotButton="0" quotePrefix="0" xfId="0"/>
    <xf numFmtId="0" fontId="14" fillId="7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1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30" customWidth="1" min="4" max="4"/>
    <col width="12" customWidth="1" min="5" max="5"/>
    <col width="12" customWidth="1" min="6" max="6"/>
    <col width="10" customWidth="1" min="7" max="7"/>
    <col width="25" customWidth="1" min="8" max="8"/>
  </cols>
  <sheetData>
    <row r="2">
      <c r="B2" s="1" t="inlineStr">
        <is>
          <t>QUALITY OF EARNINGS ANALYSIS</t>
        </is>
      </c>
    </row>
    <row r="4">
      <c r="B4" s="2" t="inlineStr">
        <is>
          <t>TRANSACTION OVERVIEW</t>
        </is>
      </c>
    </row>
    <row r="5">
      <c r="B5" t="inlineStr">
        <is>
          <t>Target Company:</t>
        </is>
      </c>
      <c r="C5" s="3" t="inlineStr">
        <is>
          <t>Enter Company Name</t>
        </is>
      </c>
    </row>
    <row r="6">
      <c r="B6" t="inlineStr">
        <is>
          <t>Analysis Date:</t>
        </is>
      </c>
      <c r="C6" s="4">
        <f>TODAY()</f>
        <v/>
      </c>
    </row>
    <row r="7">
      <c r="B7" t="inlineStr">
        <is>
          <t>Analysis Period:</t>
        </is>
      </c>
      <c r="C7" s="3" t="inlineStr">
        <is>
          <t>Last 3 Years + TTM</t>
        </is>
      </c>
    </row>
    <row r="8">
      <c r="B8" t="inlineStr">
        <is>
          <t>Prepared By:</t>
        </is>
      </c>
      <c r="C8" s="3" t="inlineStr">
        <is>
          <t>Enter Name</t>
        </is>
      </c>
    </row>
    <row r="9">
      <c r="B9" t="inlineStr">
        <is>
          <t>Transaction Type:</t>
        </is>
      </c>
      <c r="C9" s="3" t="inlineStr">
        <is>
          <t>PE Acquisition</t>
        </is>
      </c>
    </row>
    <row r="11">
      <c r="B11" s="2" t="inlineStr">
        <is>
          <t>KEY FINDINGS SUMMARY</t>
        </is>
      </c>
    </row>
    <row r="12">
      <c r="B12" s="5" t="inlineStr">
        <is>
          <t>Metric</t>
        </is>
      </c>
      <c r="C12" s="5" t="inlineStr">
        <is>
          <t>Year 1</t>
        </is>
      </c>
      <c r="D12" s="5" t="inlineStr">
        <is>
          <t>Year 2</t>
        </is>
      </c>
      <c r="E12" s="5" t="inlineStr">
        <is>
          <t>Year 3</t>
        </is>
      </c>
      <c r="F12" s="5" t="inlineStr">
        <is>
          <t>TTM</t>
        </is>
      </c>
      <c r="G12" s="5" t="inlineStr">
        <is>
          <t>Change</t>
        </is>
      </c>
      <c r="H12" s="5" t="inlineStr">
        <is>
          <t>Comment</t>
        </is>
      </c>
    </row>
    <row r="13">
      <c r="B13" s="6" t="inlineStr">
        <is>
          <t>Revenue ($mm)</t>
        </is>
      </c>
      <c r="C13" s="7">
        <f>"Reported Financials"!C12/1000</f>
        <v/>
      </c>
      <c r="D13" s="7">
        <f>"Reported Financials"!D12/1000</f>
        <v/>
      </c>
      <c r="E13" s="7">
        <f>"Reported Financials"!E12/1000</f>
        <v/>
      </c>
      <c r="F13" s="7">
        <f>"Reported Financials"!F12/1000</f>
        <v/>
      </c>
      <c r="G13">
        <f>F13-C13</f>
        <v/>
      </c>
    </row>
    <row r="14">
      <c r="B14" s="6" t="inlineStr">
        <is>
          <t>Reported EBITDA ($mm)</t>
        </is>
      </c>
      <c r="C14" s="7">
        <f>"Reported Financials"!C29/1000</f>
        <v/>
      </c>
      <c r="D14" s="7">
        <f>"Reported Financials"!D29/1000</f>
        <v/>
      </c>
      <c r="E14" s="7">
        <f>"Reported Financials"!E29/1000</f>
        <v/>
      </c>
      <c r="F14" s="7">
        <f>"Reported Financials"!F29/1000</f>
        <v/>
      </c>
      <c r="G14">
        <f>F14-C14</f>
        <v/>
      </c>
    </row>
    <row r="15">
      <c r="B15" s="6" t="inlineStr">
        <is>
          <t>Adjusted EBITDA ($mm)</t>
        </is>
      </c>
      <c r="C15" s="7">
        <f>"EBITDA Bridge"!C55/1000</f>
        <v/>
      </c>
      <c r="D15" s="7">
        <f>"EBITDA Bridge"!D55/1000</f>
        <v/>
      </c>
      <c r="E15" s="7">
        <f>"EBITDA Bridge"!E55/1000</f>
        <v/>
      </c>
      <c r="F15" s="7">
        <f>"EBITDA Bridge"!F55/1000</f>
        <v/>
      </c>
      <c r="G15">
        <f>F15-C15</f>
        <v/>
      </c>
    </row>
    <row r="16">
      <c r="B16" s="6" t="inlineStr">
        <is>
          <t>Reported EBITDA Margin %</t>
        </is>
      </c>
      <c r="C16" s="7">
        <f>"Reported Financials"!C30</f>
        <v/>
      </c>
      <c r="D16" s="7">
        <f>"Reported Financials"!D30</f>
        <v/>
      </c>
      <c r="E16" s="7">
        <f>"Reported Financials"!E30</f>
        <v/>
      </c>
      <c r="F16" s="7">
        <f>"Reported Financials"!F30</f>
        <v/>
      </c>
      <c r="G16">
        <f>F16-C16</f>
        <v/>
      </c>
    </row>
    <row r="17">
      <c r="B17" s="6" t="inlineStr">
        <is>
          <t>Adjusted EBITDA Margin %</t>
        </is>
      </c>
      <c r="C17" s="7">
        <f>"EBITDA Bridge"!C56</f>
        <v/>
      </c>
      <c r="D17" s="7">
        <f>"EBITDA Bridge"!D56</f>
        <v/>
      </c>
      <c r="E17" s="7">
        <f>"EBITDA Bridge"!E56</f>
        <v/>
      </c>
      <c r="F17" s="7">
        <f>"EBITDA Bridge"!F56</f>
        <v/>
      </c>
      <c r="G17">
        <f>F17-C17</f>
        <v/>
      </c>
    </row>
    <row r="18">
      <c r="B18" s="6" t="inlineStr">
        <is>
          <t>Adjustment Impact ($mm)</t>
        </is>
      </c>
      <c r="C18" s="7">
        <f>"EBITDA Bridge"!C53/1000</f>
        <v/>
      </c>
      <c r="D18" s="7">
        <f>"EBITDA Bridge"!D53/1000</f>
        <v/>
      </c>
      <c r="E18" s="7">
        <f>"EBITDA Bridge"!E53/1000</f>
        <v/>
      </c>
      <c r="F18" s="7">
        <f>"EBITDA Bridge"!F53/1000</f>
        <v/>
      </c>
      <c r="G18">
        <f>F18-C18</f>
        <v/>
      </c>
    </row>
    <row r="19">
      <c r="B19" s="6" t="inlineStr">
        <is>
          <t>Adjustment % of Reported</t>
        </is>
      </c>
      <c r="C19" s="7">
        <f>"EBITDA Bridge"!C58</f>
        <v/>
      </c>
      <c r="D19" s="7">
        <f>"EBITDA Bridge"!D58</f>
        <v/>
      </c>
      <c r="E19" s="7">
        <f>"EBITDA Bridge"!E58</f>
        <v/>
      </c>
      <c r="F19" s="7">
        <f>"EBITDA Bridge"!F58</f>
        <v/>
      </c>
      <c r="G19">
        <f>F19-C19</f>
        <v/>
      </c>
    </row>
    <row r="22">
      <c r="B22" s="2" t="inlineStr">
        <is>
          <t>EBITDA ADJUSTMENTS SUMMARY</t>
        </is>
      </c>
    </row>
    <row r="23">
      <c r="B23" s="8" t="inlineStr">
        <is>
          <t>Adjustment Category</t>
        </is>
      </c>
      <c r="C23" s="8" t="inlineStr">
        <is>
          <t>Year 1</t>
        </is>
      </c>
      <c r="D23" s="8" t="inlineStr">
        <is>
          <t>Year 2</t>
        </is>
      </c>
      <c r="E23" s="8" t="inlineStr">
        <is>
          <t>Year 3</t>
        </is>
      </c>
      <c r="F23" s="8" t="inlineStr">
        <is>
          <t>TTM</t>
        </is>
      </c>
      <c r="G23" s="8" t="inlineStr">
        <is>
          <t>Total</t>
        </is>
      </c>
      <c r="H23" s="8" t="inlineStr">
        <is>
          <t>% of Reported</t>
        </is>
      </c>
    </row>
    <row r="24">
      <c r="B24" t="inlineStr">
        <is>
          <t>Non-Recurring Items</t>
        </is>
      </c>
      <c r="C24">
        <f>"EBITDA Bridge"!C15/1000</f>
        <v/>
      </c>
      <c r="D24">
        <f>"EBITDA Bridge"!D15/1000</f>
        <v/>
      </c>
      <c r="E24">
        <f>"EBITDA Bridge"!E15/1000</f>
        <v/>
      </c>
      <c r="F24">
        <f>"EBITDA Bridge"!F15/1000</f>
        <v/>
      </c>
      <c r="G24">
        <f>SUM(C24:E24)</f>
        <v/>
      </c>
      <c r="H24">
        <f>IF(SUM(C14:E14)=0,0,G24/SUM(C14:E14))</f>
        <v/>
      </c>
    </row>
    <row r="25">
      <c r="B25" t="inlineStr">
        <is>
          <t>Owner Compensation</t>
        </is>
      </c>
      <c r="C25">
        <f>"EBITDA Bridge"!C23/1000</f>
        <v/>
      </c>
      <c r="D25">
        <f>"EBITDA Bridge"!D23/1000</f>
        <v/>
      </c>
      <c r="E25">
        <f>"EBITDA Bridge"!E23/1000</f>
        <v/>
      </c>
      <c r="F25">
        <f>"EBITDA Bridge"!F23/1000</f>
        <v/>
      </c>
      <c r="G25">
        <f>SUM(C25:E25)</f>
        <v/>
      </c>
      <c r="H25">
        <f>IF(SUM(C14:E14)=0,0,G25/SUM(C14:E14))</f>
        <v/>
      </c>
    </row>
    <row r="26">
      <c r="B26" t="inlineStr">
        <is>
          <t>Owner Discretionary</t>
        </is>
      </c>
      <c r="C26">
        <f>0</f>
        <v/>
      </c>
      <c r="D26">
        <f>0</f>
        <v/>
      </c>
      <c r="E26">
        <f>0</f>
        <v/>
      </c>
      <c r="F26">
        <f>0</f>
        <v/>
      </c>
      <c r="G26">
        <f>SUM(C26:E26)</f>
        <v/>
      </c>
      <c r="H26">
        <f>IF(SUM(C14:E14)=0,0,G26/SUM(C14:E14))</f>
        <v/>
      </c>
    </row>
    <row r="27">
      <c r="B27" t="inlineStr">
        <is>
          <t>Normalization Adjustments</t>
        </is>
      </c>
      <c r="C27">
        <f>"EBITDA Bridge"!C31/1000</f>
        <v/>
      </c>
      <c r="D27">
        <f>"EBITDA Bridge"!D31/1000</f>
        <v/>
      </c>
      <c r="E27">
        <f>"EBITDA Bridge"!E31/1000</f>
        <v/>
      </c>
      <c r="F27">
        <f>"EBITDA Bridge"!F31/1000</f>
        <v/>
      </c>
      <c r="G27">
        <f>SUM(C27:E27)</f>
        <v/>
      </c>
      <c r="H27">
        <f>IF(SUM(C14:E14)=0,0,G27/SUM(C14:E14))</f>
        <v/>
      </c>
    </row>
    <row r="28">
      <c r="B28" t="inlineStr">
        <is>
          <t>Accounting Adjustments</t>
        </is>
      </c>
      <c r="C28">
        <f>"EBITDA Bridge"!C38/1000</f>
        <v/>
      </c>
      <c r="D28">
        <f>"EBITDA Bridge"!D38/1000</f>
        <v/>
      </c>
      <c r="E28">
        <f>"EBITDA Bridge"!E38/1000</f>
        <v/>
      </c>
      <c r="F28">
        <f>"EBITDA Bridge"!F38/1000</f>
        <v/>
      </c>
      <c r="G28">
        <f>SUM(C28:E28)</f>
        <v/>
      </c>
      <c r="H28">
        <f>IF(SUM(C14:E14)=0,0,G28/SUM(C14:E14))</f>
        <v/>
      </c>
    </row>
    <row r="29">
      <c r="B29" t="inlineStr">
        <is>
          <t>Pro Forma Adjustments</t>
        </is>
      </c>
      <c r="C29">
        <f>"EBITDA Bridge"!C45/1000</f>
        <v/>
      </c>
      <c r="D29">
        <f>"EBITDA Bridge"!D45/1000</f>
        <v/>
      </c>
      <c r="E29">
        <f>"EBITDA Bridge"!E45/1000</f>
        <v/>
      </c>
      <c r="F29">
        <f>"EBITDA Bridge"!F45/1000</f>
        <v/>
      </c>
      <c r="G29">
        <f>SUM(C29:E29)</f>
        <v/>
      </c>
      <c r="H29">
        <f>IF(SUM(C14:E14)=0,0,G29/SUM(C14:E14))</f>
        <v/>
      </c>
    </row>
    <row r="30">
      <c r="B30" s="6" t="inlineStr">
        <is>
          <t>TOTAL ADJUSTMENTS</t>
        </is>
      </c>
      <c r="C30">
        <f>"EBITDA Bridge"!C53/1000</f>
        <v/>
      </c>
      <c r="D30">
        <f>"EBITDA Bridge"!D53/1000</f>
        <v/>
      </c>
      <c r="E30">
        <f>"EBITDA Bridge"!E53/1000</f>
        <v/>
      </c>
      <c r="F30">
        <f>"EBITDA Bridge"!F53/1000</f>
        <v/>
      </c>
      <c r="G30">
        <f>SUM(C30:E30)</f>
        <v/>
      </c>
      <c r="H30">
        <f>IF(SUM(C14:E14)=0,0,G30/SUM(C14:E14))</f>
        <v/>
      </c>
    </row>
    <row r="32">
      <c r="B32" s="2" t="inlineStr">
        <is>
          <t>EARNINGS QUALITY ASSESSMENT</t>
        </is>
      </c>
    </row>
    <row r="33">
      <c r="B33" s="6" t="inlineStr">
        <is>
          <t>Revenue Quality</t>
        </is>
      </c>
      <c r="C33" s="9" t="inlineStr">
        <is>
          <t>High</t>
        </is>
      </c>
      <c r="D33" t="inlineStr">
        <is>
          <t>Strong customer base, diversified revenue streams</t>
        </is>
      </c>
    </row>
    <row r="34">
      <c r="B34" s="6" t="inlineStr">
        <is>
          <t>Customer Concentration</t>
        </is>
      </c>
      <c r="C34" s="10" t="inlineStr">
        <is>
          <t>Medium</t>
        </is>
      </c>
      <c r="D34" t="inlineStr">
        <is>
          <t>Top 3 customers = 45% of revenue</t>
        </is>
      </c>
    </row>
    <row r="35">
      <c r="B35" s="6" t="inlineStr">
        <is>
          <t>Revenue Recognition</t>
        </is>
      </c>
      <c r="C35" s="9" t="inlineStr">
        <is>
          <t>High</t>
        </is>
      </c>
      <c r="D35" t="inlineStr">
        <is>
          <t>Conservative, GAAP compliant</t>
        </is>
      </c>
    </row>
    <row r="36">
      <c r="B36" s="6" t="inlineStr">
        <is>
          <t>Cost Structure</t>
        </is>
      </c>
      <c r="C36" s="9" t="inlineStr">
        <is>
          <t>High</t>
        </is>
      </c>
      <c r="D36" t="inlineStr">
        <is>
          <t>Predictable, well-documented</t>
        </is>
      </c>
    </row>
    <row r="37">
      <c r="B37" s="6" t="inlineStr">
        <is>
          <t>Working Capital</t>
        </is>
      </c>
      <c r="C37" s="10" t="inlineStr">
        <is>
          <t>Medium</t>
        </is>
      </c>
      <c r="D37" t="inlineStr">
        <is>
          <t>Some seasonal fluctuation</t>
        </is>
      </c>
    </row>
    <row r="38">
      <c r="B38" s="6" t="inlineStr">
        <is>
          <t>Overall Earnings Quality</t>
        </is>
      </c>
      <c r="C38" s="9" t="inlineStr">
        <is>
          <t>HIGH</t>
        </is>
      </c>
      <c r="D38" t="inlineStr">
        <is>
          <t>Strong sustainable earnings</t>
        </is>
      </c>
    </row>
    <row r="40">
      <c r="B40" s="2" t="inlineStr">
        <is>
          <t>RED FLAGS &amp; KEY RISKS</t>
        </is>
      </c>
    </row>
    <row r="41">
      <c r="B41" s="11" t="inlineStr">
        <is>
          <t>Risk Category</t>
        </is>
      </c>
      <c r="C41" s="11" t="inlineStr">
        <is>
          <t>Severity</t>
        </is>
      </c>
      <c r="D41" s="11" t="inlineStr">
        <is>
          <t>Description</t>
        </is>
      </c>
      <c r="E41" s="11" t="inlineStr">
        <is>
          <t>Impact ($mm)</t>
        </is>
      </c>
      <c r="F41" s="11" t="inlineStr">
        <is>
          <t>Mitigation</t>
        </is>
      </c>
    </row>
  </sheetData>
  <mergeCells count="6">
    <mergeCell ref="B22:H22"/>
    <mergeCell ref="B32:H32"/>
    <mergeCell ref="B40:H40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45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2" t="inlineStr">
        <is>
          <t>HISTORICAL FINANCIAL STATEMENTS</t>
        </is>
      </c>
    </row>
    <row r="4">
      <c r="B4" s="13" t="inlineStr">
        <is>
          <t>All figures in $thousands</t>
        </is>
      </c>
    </row>
    <row r="5">
      <c r="B5" s="8" t="inlineStr">
        <is>
          <t>Analysis Period</t>
        </is>
      </c>
      <c r="C5" s="8" t="inlineStr">
        <is>
          <t>Year 1</t>
        </is>
      </c>
      <c r="D5" s="8" t="inlineStr">
        <is>
          <t>Year 2</t>
        </is>
      </c>
      <c r="E5" s="8" t="inlineStr">
        <is>
          <t>Year 3</t>
        </is>
      </c>
      <c r="F5" s="8" t="inlineStr">
        <is>
          <t>TTM</t>
        </is>
      </c>
      <c r="G5" s="8" t="inlineStr">
        <is>
          <t>CAGR</t>
        </is>
      </c>
    </row>
    <row r="6">
      <c r="C6" s="3" t="inlineStr">
        <is>
          <t>2022</t>
        </is>
      </c>
      <c r="D6" s="3" t="inlineStr">
        <is>
          <t>2023</t>
        </is>
      </c>
      <c r="E6" s="3" t="inlineStr">
        <is>
          <t>2024</t>
        </is>
      </c>
      <c r="F6" s="3" t="inlineStr">
        <is>
          <t>Q3-2025</t>
        </is>
      </c>
    </row>
    <row r="8">
      <c r="B8" s="2" t="inlineStr">
        <is>
          <t>INCOME STATEMENT</t>
        </is>
      </c>
    </row>
    <row r="9">
      <c r="B9" s="6" t="inlineStr">
        <is>
          <t>Revenue</t>
        </is>
      </c>
      <c r="C9" s="14" t="n">
        <v>0</v>
      </c>
      <c r="D9" s="14" t="n">
        <v>0</v>
      </c>
      <c r="E9" s="14" t="n">
        <v>0</v>
      </c>
      <c r="F9" s="14" t="n">
        <v>0</v>
      </c>
    </row>
    <row r="10">
      <c r="B10" t="inlineStr">
        <is>
          <t xml:space="preserve">  Product Revenue</t>
        </is>
      </c>
      <c r="C10" s="14" t="n">
        <v>0</v>
      </c>
      <c r="D10" s="14" t="n">
        <v>0</v>
      </c>
      <c r="E10" s="14" t="n">
        <v>0</v>
      </c>
      <c r="F10" s="14" t="n">
        <v>0</v>
      </c>
    </row>
    <row r="11">
      <c r="B11" t="inlineStr">
        <is>
          <t xml:space="preserve">  Service Revenue</t>
        </is>
      </c>
      <c r="C11" s="14" t="n">
        <v>0</v>
      </c>
      <c r="D11" s="14" t="n">
        <v>0</v>
      </c>
      <c r="E11" s="14" t="n">
        <v>0</v>
      </c>
      <c r="F11" s="14" t="n">
        <v>0</v>
      </c>
    </row>
    <row r="12">
      <c r="B12" s="6" t="inlineStr">
        <is>
          <t>Total Revenue</t>
        </is>
      </c>
      <c r="C12" s="15">
        <f>C10+C11</f>
        <v/>
      </c>
      <c r="D12" s="15">
        <f>D10+D11</f>
        <v/>
      </c>
      <c r="E12" s="15">
        <f>E10+E11</f>
        <v/>
      </c>
      <c r="F12" s="15">
        <f>F10+F11</f>
        <v/>
      </c>
      <c r="G12">
        <f>IF(AND(C12&lt;&gt;0,F12&lt;&gt;0),(POWER(F12/C12,1/3)-1),0)</f>
        <v/>
      </c>
    </row>
    <row r="14">
      <c r="B14" s="6" t="inlineStr">
        <is>
          <t>Cost of Goods Sold</t>
        </is>
      </c>
      <c r="C14" s="14" t="n">
        <v>0</v>
      </c>
      <c r="D14" s="14" t="n">
        <v>0</v>
      </c>
      <c r="E14" s="14" t="n">
        <v>0</v>
      </c>
      <c r="F14" s="14" t="n">
        <v>0</v>
      </c>
    </row>
    <row r="15">
      <c r="B15" t="inlineStr">
        <is>
          <t xml:space="preserve">  Direct Materials</t>
        </is>
      </c>
      <c r="C15" s="14" t="n">
        <v>0</v>
      </c>
      <c r="D15" s="14" t="n">
        <v>0</v>
      </c>
      <c r="E15" s="14" t="n">
        <v>0</v>
      </c>
      <c r="F15" s="14" t="n">
        <v>0</v>
      </c>
    </row>
    <row r="16">
      <c r="B16" t="inlineStr">
        <is>
          <t xml:space="preserve">  Direct Labor</t>
        </is>
      </c>
      <c r="C16" s="14" t="n">
        <v>0</v>
      </c>
      <c r="D16" s="14" t="n">
        <v>0</v>
      </c>
      <c r="E16" s="14" t="n">
        <v>0</v>
      </c>
      <c r="F16" s="14" t="n">
        <v>0</v>
      </c>
    </row>
    <row r="17">
      <c r="B17" t="inlineStr">
        <is>
          <t xml:space="preserve">  Manufacturing Overhead</t>
        </is>
      </c>
      <c r="C17" s="14" t="n">
        <v>0</v>
      </c>
      <c r="D17" s="14" t="n">
        <v>0</v>
      </c>
      <c r="E17" s="14" t="n">
        <v>0</v>
      </c>
      <c r="F17" s="14" t="n">
        <v>0</v>
      </c>
    </row>
    <row r="18">
      <c r="B18" s="6" t="inlineStr">
        <is>
          <t>Total COGS</t>
        </is>
      </c>
      <c r="C18" s="15">
        <f>SUM(C14:C17)</f>
        <v/>
      </c>
      <c r="D18" s="15">
        <f>SUM(D14:D17)</f>
        <v/>
      </c>
      <c r="E18" s="15">
        <f>SUM(E14:E17)</f>
        <v/>
      </c>
      <c r="F18" s="15">
        <f>SUM(F14:F17)</f>
        <v/>
      </c>
    </row>
    <row r="20">
      <c r="B20" s="6" t="inlineStr">
        <is>
          <t>Gross Profit</t>
        </is>
      </c>
      <c r="C20" s="15">
        <f>C12-C18</f>
        <v/>
      </c>
      <c r="D20" s="15">
        <f>D12-D18</f>
        <v/>
      </c>
      <c r="E20" s="15">
        <f>E12-E18</f>
        <v/>
      </c>
      <c r="F20" s="15">
        <f>F12-F18</f>
        <v/>
      </c>
    </row>
    <row r="21">
      <c r="B21" s="6" t="inlineStr">
        <is>
          <t>Gross Margin %</t>
        </is>
      </c>
      <c r="C21" s="15">
        <f>IF(C12=0,0,C20/C12)</f>
        <v/>
      </c>
      <c r="D21" s="15">
        <f>IF(D12=0,0,D20/D12)</f>
        <v/>
      </c>
      <c r="E21" s="15">
        <f>IF(E12=0,0,E20/E12)</f>
        <v/>
      </c>
      <c r="F21" s="15">
        <f>IF(F12=0,0,F20/F12)</f>
        <v/>
      </c>
    </row>
    <row r="23">
      <c r="B23" s="6" t="inlineStr">
        <is>
          <t>Operating Expenses</t>
        </is>
      </c>
    </row>
    <row r="24">
      <c r="B24" t="inlineStr">
        <is>
          <t xml:space="preserve">  Sales &amp; Marketing</t>
        </is>
      </c>
      <c r="C24" s="14" t="n">
        <v>0</v>
      </c>
      <c r="D24" s="14" t="n">
        <v>0</v>
      </c>
      <c r="E24" s="14" t="n">
        <v>0</v>
      </c>
      <c r="F24" s="14" t="n">
        <v>0</v>
      </c>
    </row>
    <row r="25">
      <c r="B25" t="inlineStr">
        <is>
          <t xml:space="preserve">  Research &amp; Development</t>
        </is>
      </c>
      <c r="C25" s="14" t="n">
        <v>0</v>
      </c>
      <c r="D25" s="14" t="n">
        <v>0</v>
      </c>
      <c r="E25" s="14" t="n">
        <v>0</v>
      </c>
      <c r="F25" s="14" t="n">
        <v>0</v>
      </c>
    </row>
    <row r="26">
      <c r="B26" t="inlineStr">
        <is>
          <t xml:space="preserve">  General &amp; Administrative</t>
        </is>
      </c>
      <c r="C26" s="14" t="n">
        <v>0</v>
      </c>
      <c r="D26" s="14" t="n">
        <v>0</v>
      </c>
      <c r="E26" s="14" t="n">
        <v>0</v>
      </c>
      <c r="F26" s="14" t="n">
        <v>0</v>
      </c>
    </row>
    <row r="27">
      <c r="B27" s="6" t="inlineStr">
        <is>
          <t>Total Operating Expenses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</row>
    <row r="29">
      <c r="B29" s="6" t="inlineStr">
        <is>
          <t>EBITDA (As Reported)</t>
        </is>
      </c>
      <c r="C29" s="15">
        <f>C20-C27</f>
        <v/>
      </c>
      <c r="D29" s="15">
        <f>D20-D27</f>
        <v/>
      </c>
      <c r="E29" s="15">
        <f>E20-E27</f>
        <v/>
      </c>
      <c r="F29" s="15">
        <f>F20-F27</f>
        <v/>
      </c>
    </row>
    <row r="30">
      <c r="B30" s="6" t="inlineStr">
        <is>
          <t>EBITDA Margin %</t>
        </is>
      </c>
      <c r="C30" s="15">
        <f>IF(C12=0,0,C29/C12)</f>
        <v/>
      </c>
      <c r="D30" s="15">
        <f>IF(D12=0,0,D29/D12)</f>
        <v/>
      </c>
      <c r="E30" s="15">
        <f>IF(E12=0,0,E29/E12)</f>
        <v/>
      </c>
      <c r="F30" s="15">
        <f>IF(F12=0,0,F29/F12)</f>
        <v/>
      </c>
    </row>
    <row r="32">
      <c r="B32" s="6" t="inlineStr">
        <is>
          <t>Depreciation &amp; Amortization</t>
        </is>
      </c>
      <c r="C32" s="14" t="n">
        <v>0</v>
      </c>
      <c r="D32" s="14" t="n">
        <v>0</v>
      </c>
      <c r="E32" s="14" t="n">
        <v>0</v>
      </c>
      <c r="F32" s="14" t="n">
        <v>0</v>
      </c>
    </row>
    <row r="33">
      <c r="B33" s="6" t="inlineStr">
        <is>
          <t>EBIT</t>
        </is>
      </c>
      <c r="C33" s="15">
        <f>C29-C32</f>
        <v/>
      </c>
      <c r="D33" s="15">
        <f>D29-D32</f>
        <v/>
      </c>
      <c r="E33" s="15">
        <f>E29-E32</f>
        <v/>
      </c>
      <c r="F33" s="15">
        <f>F29-F32</f>
        <v/>
      </c>
    </row>
    <row r="34">
      <c r="B34" s="6" t="inlineStr">
        <is>
          <t>Interest Expense</t>
        </is>
      </c>
      <c r="C34" s="14" t="n">
        <v>0</v>
      </c>
      <c r="D34" s="14" t="n">
        <v>0</v>
      </c>
      <c r="E34" s="14" t="n">
        <v>0</v>
      </c>
      <c r="F34" s="14" t="n">
        <v>0</v>
      </c>
    </row>
    <row r="35">
      <c r="B35" s="6" t="inlineStr">
        <is>
          <t>Interest Income</t>
        </is>
      </c>
      <c r="C35" s="14" t="n">
        <v>0</v>
      </c>
      <c r="D35" s="14" t="n">
        <v>0</v>
      </c>
      <c r="E35" s="14" t="n">
        <v>0</v>
      </c>
      <c r="F35" s="14" t="n">
        <v>0</v>
      </c>
    </row>
    <row r="36">
      <c r="B36" s="6" t="inlineStr">
        <is>
          <t>Other Income/(Expense)</t>
        </is>
      </c>
      <c r="C36" s="14" t="n">
        <v>0</v>
      </c>
      <c r="D36" s="14" t="n">
        <v>0</v>
      </c>
      <c r="E36" s="14" t="n">
        <v>0</v>
      </c>
      <c r="F36" s="14" t="n">
        <v>0</v>
      </c>
    </row>
    <row r="38">
      <c r="B38" s="6" t="inlineStr">
        <is>
          <t>Earnings Before Tax</t>
        </is>
      </c>
      <c r="C38" s="15">
        <f>C33-C34+C35+C36</f>
        <v/>
      </c>
      <c r="D38" s="15">
        <f>D33-D34+D35+D36</f>
        <v/>
      </c>
      <c r="E38" s="15">
        <f>E33-E34+E35+E36</f>
        <v/>
      </c>
      <c r="F38" s="15">
        <f>F33-F34+F35+F36</f>
        <v/>
      </c>
    </row>
    <row r="39">
      <c r="B39" s="6" t="inlineStr">
        <is>
          <t>Income Tax Expense</t>
        </is>
      </c>
      <c r="C39" s="14" t="n">
        <v>0</v>
      </c>
      <c r="D39" s="14" t="n">
        <v>0</v>
      </c>
      <c r="E39" s="14" t="n">
        <v>0</v>
      </c>
      <c r="F39" s="14" t="n">
        <v>0</v>
      </c>
    </row>
    <row r="40">
      <c r="B40" s="6" t="inlineStr">
        <is>
          <t>Net Income</t>
        </is>
      </c>
      <c r="C40" s="15">
        <f>C38-C39</f>
        <v/>
      </c>
      <c r="D40" s="15">
        <f>D38-D39</f>
        <v/>
      </c>
      <c r="E40" s="15">
        <f>E38-E39</f>
        <v/>
      </c>
      <c r="F40" s="15">
        <f>F38-F39</f>
        <v/>
      </c>
    </row>
    <row r="41">
      <c r="B41" s="2" t="inlineStr">
        <is>
          <t>CASH FLOW METRICS</t>
        </is>
      </c>
    </row>
    <row r="42">
      <c r="B42" s="6" t="inlineStr">
        <is>
          <t>Operating Cash Flow</t>
        </is>
      </c>
      <c r="C42" s="16" t="n"/>
      <c r="D42" s="16" t="n"/>
      <c r="E42" s="16" t="n"/>
      <c r="F42" s="16" t="n"/>
    </row>
    <row r="43">
      <c r="B43" s="6" t="inlineStr">
        <is>
          <t>Capital Expenditures</t>
        </is>
      </c>
      <c r="C43" s="16" t="n"/>
      <c r="D43" s="16" t="n"/>
      <c r="E43" s="16" t="n"/>
      <c r="F43" s="16" t="n"/>
    </row>
    <row r="44">
      <c r="B44" s="6" t="inlineStr">
        <is>
          <t>Free Cash Flow</t>
        </is>
      </c>
      <c r="C44" s="16">
        <f>C42-C43</f>
        <v/>
      </c>
      <c r="D44" s="16">
        <f>D42-D43</f>
        <v/>
      </c>
      <c r="E44" s="16">
        <f>E42-E43</f>
        <v/>
      </c>
      <c r="F44" s="16">
        <f>F42-F43</f>
        <v/>
      </c>
    </row>
    <row r="45">
      <c r="B45" s="6" t="inlineStr">
        <is>
          <t>FCF Conversion (FCF/EBITDA)</t>
        </is>
      </c>
      <c r="C45" s="17">
        <f>IF(C29=0,0,C44/C29)</f>
        <v/>
      </c>
      <c r="D45" s="17">
        <f>IF(D29=0,0,D44/D29)</f>
        <v/>
      </c>
      <c r="E45" s="17">
        <f>IF(E29=0,0,E44/E29)</f>
        <v/>
      </c>
      <c r="F45" s="17">
        <f>IF(F29=0,0,F44/F29)</f>
        <v/>
      </c>
    </row>
  </sheetData>
  <mergeCells count="3">
    <mergeCell ref="B8:G8"/>
    <mergeCell ref="B2:G2"/>
    <mergeCell ref="B41:G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59"/>
  <sheetViews>
    <sheetView workbookViewId="0">
      <selection activeCell="A1" sqref="A1"/>
    </sheetView>
  </sheetViews>
  <sheetFormatPr baseColWidth="8" defaultRowHeight="15"/>
  <cols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2" t="inlineStr">
        <is>
          <t>EBITDA RECONCILIATION &amp; BRIDGE</t>
        </is>
      </c>
    </row>
    <row r="4">
      <c r="B4" s="13" t="inlineStr">
        <is>
          <t>All figures in $thousands</t>
        </is>
      </c>
    </row>
    <row r="5">
      <c r="B5" s="8" t="inlineStr">
        <is>
          <t>Description</t>
        </is>
      </c>
      <c r="C5" s="8" t="inlineStr">
        <is>
          <t>Year 1</t>
        </is>
      </c>
      <c r="D5" s="8" t="inlineStr">
        <is>
          <t>Year 2</t>
        </is>
      </c>
      <c r="E5" s="8" t="inlineStr">
        <is>
          <t>Year 3</t>
        </is>
      </c>
      <c r="F5" s="8" t="inlineStr">
        <is>
          <t>TTM</t>
        </is>
      </c>
      <c r="G5" s="8" t="inlineStr">
        <is>
          <t>3-Yr Avg</t>
        </is>
      </c>
    </row>
    <row r="6">
      <c r="B6" s="18" t="inlineStr">
        <is>
          <t>REPORTED EBITDA</t>
        </is>
      </c>
      <c r="C6" s="19">
        <f>"Reported Financials"!C29</f>
        <v/>
      </c>
      <c r="D6" s="19">
        <f>"Reported Financials"!D29</f>
        <v/>
      </c>
      <c r="E6" s="19">
        <f>"Reported Financials"!E29</f>
        <v/>
      </c>
      <c r="F6" s="19">
        <f>"Reported Financials"!F29</f>
        <v/>
      </c>
      <c r="G6" s="20">
        <f>AVERAGE(C6:E6)</f>
        <v/>
      </c>
    </row>
    <row r="8">
      <c r="B8" s="6" t="inlineStr">
        <is>
          <t>ADD-BACKS (Increase EBITDA)</t>
        </is>
      </c>
    </row>
    <row r="9">
      <c r="B9" t="inlineStr">
        <is>
          <t>Non-Recurring Expenses</t>
        </is>
      </c>
    </row>
    <row r="10">
      <c r="B10" t="inlineStr">
        <is>
          <t xml:space="preserve">  Litigation settlement</t>
        </is>
      </c>
      <c r="C10" s="14" t="n">
        <v>0</v>
      </c>
      <c r="D10" s="14" t="n">
        <v>0</v>
      </c>
      <c r="E10" s="14" t="n">
        <v>0</v>
      </c>
      <c r="F10" s="14" t="n">
        <v>0</v>
      </c>
    </row>
    <row r="11">
      <c r="B11" t="inlineStr">
        <is>
          <t xml:space="preserve">  One-time professional fees</t>
        </is>
      </c>
      <c r="C11" s="14" t="n">
        <v>0</v>
      </c>
      <c r="D11" s="14" t="n">
        <v>0</v>
      </c>
      <c r="E11" s="14" t="n">
        <v>0</v>
      </c>
      <c r="F11" s="14" t="n">
        <v>0</v>
      </c>
    </row>
    <row r="12">
      <c r="B12" t="inlineStr">
        <is>
          <t xml:space="preserve">  Restructuring costs</t>
        </is>
      </c>
      <c r="C12" s="14" t="n">
        <v>0</v>
      </c>
      <c r="D12" s="14" t="n">
        <v>0</v>
      </c>
      <c r="E12" s="14" t="n">
        <v>0</v>
      </c>
      <c r="F12" s="14" t="n">
        <v>0</v>
      </c>
    </row>
    <row r="13">
      <c r="B13" t="inlineStr">
        <is>
          <t xml:space="preserve">  COVID-related expenses</t>
        </is>
      </c>
      <c r="C13" s="14" t="n">
        <v>0</v>
      </c>
      <c r="D13" s="14" t="n">
        <v>0</v>
      </c>
      <c r="E13" s="14" t="n">
        <v>0</v>
      </c>
      <c r="F13" s="14" t="n">
        <v>0</v>
      </c>
    </row>
    <row r="14">
      <c r="B14" t="inlineStr">
        <is>
          <t xml:space="preserve">  Other non-recurring</t>
        </is>
      </c>
      <c r="C14" s="14" t="n">
        <v>0</v>
      </c>
      <c r="D14" s="14" t="n">
        <v>0</v>
      </c>
      <c r="E14" s="14" t="n">
        <v>0</v>
      </c>
      <c r="F14" s="14" t="n">
        <v>0</v>
      </c>
    </row>
    <row r="15">
      <c r="B15" s="6" t="inlineStr">
        <is>
          <t>Total Non-Recurring</t>
        </is>
      </c>
      <c r="C15" s="15">
        <f>SUM(C10:C14)</f>
        <v/>
      </c>
      <c r="D15" s="15">
        <f>SUM(D10:D14)</f>
        <v/>
      </c>
      <c r="E15" s="15">
        <f>SUM(E10:E14)</f>
        <v/>
      </c>
      <c r="F15" s="15">
        <f>SUM(F10:F14)</f>
        <v/>
      </c>
      <c r="G15">
        <f>AVERAGE(C15:E15)</f>
        <v/>
      </c>
    </row>
    <row r="17">
      <c r="B17" t="inlineStr">
        <is>
          <t>Owner-Related Adjustments</t>
        </is>
      </c>
    </row>
    <row r="18">
      <c r="B18" t="inlineStr">
        <is>
          <t xml:space="preserve">  Excess owner compensation</t>
        </is>
      </c>
      <c r="C18" s="14" t="n">
        <v>0</v>
      </c>
      <c r="D18" s="14" t="n">
        <v>0</v>
      </c>
      <c r="E18" s="14" t="n">
        <v>0</v>
      </c>
      <c r="F18" s="14" t="n">
        <v>0</v>
      </c>
    </row>
    <row r="19">
      <c r="B19" t="inlineStr">
        <is>
          <t xml:space="preserve">  Personal vehicle expenses</t>
        </is>
      </c>
      <c r="C19" s="14" t="n">
        <v>0</v>
      </c>
      <c r="D19" s="14" t="n">
        <v>0</v>
      </c>
      <c r="E19" s="14" t="n">
        <v>0</v>
      </c>
      <c r="F19" s="14" t="n">
        <v>0</v>
      </c>
    </row>
    <row r="20">
      <c r="B20" t="inlineStr">
        <is>
          <t xml:space="preserve">  Personal travel &amp; entertainment</t>
        </is>
      </c>
      <c r="C20" s="14" t="n">
        <v>0</v>
      </c>
      <c r="D20" s="14" t="n">
        <v>0</v>
      </c>
      <c r="E20" s="14" t="n">
        <v>0</v>
      </c>
      <c r="F20" s="14" t="n">
        <v>0</v>
      </c>
    </row>
    <row r="21">
      <c r="B21" t="inlineStr">
        <is>
          <t xml:space="preserve">  Family member salaries (non-working)</t>
        </is>
      </c>
      <c r="C21" s="14" t="n">
        <v>0</v>
      </c>
      <c r="D21" s="14" t="n">
        <v>0</v>
      </c>
      <c r="E21" s="14" t="n">
        <v>0</v>
      </c>
      <c r="F21" s="14" t="n">
        <v>0</v>
      </c>
    </row>
    <row r="22">
      <c r="B22" t="inlineStr">
        <is>
          <t xml:space="preserve">  Country club dues</t>
        </is>
      </c>
      <c r="C22" s="14" t="n">
        <v>0</v>
      </c>
      <c r="D22" s="14" t="n">
        <v>0</v>
      </c>
      <c r="E22" s="14" t="n">
        <v>0</v>
      </c>
      <c r="F22" s="14" t="n">
        <v>0</v>
      </c>
    </row>
    <row r="23">
      <c r="B23" s="6" t="inlineStr">
        <is>
          <t>Total Owner-Related</t>
        </is>
      </c>
      <c r="C23" s="15">
        <f>SUM(C18:C22)</f>
        <v/>
      </c>
      <c r="D23" s="15">
        <f>SUM(D18:D22)</f>
        <v/>
      </c>
      <c r="E23" s="15">
        <f>SUM(E18:E22)</f>
        <v/>
      </c>
      <c r="F23" s="15">
        <f>SUM(F18:F22)</f>
        <v/>
      </c>
      <c r="G23">
        <f>AVERAGE(C23:E23)</f>
        <v/>
      </c>
    </row>
    <row r="25">
      <c r="B25" t="inlineStr">
        <is>
          <t>Normalization Adjustments</t>
        </is>
      </c>
    </row>
    <row r="26">
      <c r="B26" t="inlineStr">
        <is>
          <t xml:space="preserve">  Replacement management salary</t>
        </is>
      </c>
      <c r="C26" s="14" t="n">
        <v>0</v>
      </c>
      <c r="D26" s="14" t="n">
        <v>0</v>
      </c>
      <c r="E26" s="14" t="n">
        <v>0</v>
      </c>
      <c r="F26" s="14" t="n">
        <v>0</v>
      </c>
    </row>
    <row r="27">
      <c r="B27" t="inlineStr">
        <is>
          <t xml:space="preserve">  Normalized rent expense</t>
        </is>
      </c>
      <c r="C27" s="14" t="n">
        <v>0</v>
      </c>
      <c r="D27" s="14" t="n">
        <v>0</v>
      </c>
      <c r="E27" s="14" t="n">
        <v>0</v>
      </c>
      <c r="F27" s="14" t="n">
        <v>0</v>
      </c>
    </row>
    <row r="28">
      <c r="B28" t="inlineStr">
        <is>
          <t xml:space="preserve">  Normalized insurance</t>
        </is>
      </c>
      <c r="C28" s="14" t="n">
        <v>0</v>
      </c>
      <c r="D28" s="14" t="n">
        <v>0</v>
      </c>
      <c r="E28" s="14" t="n">
        <v>0</v>
      </c>
      <c r="F28" s="14" t="n">
        <v>0</v>
      </c>
    </row>
    <row r="29">
      <c r="B29" t="inlineStr">
        <is>
          <t xml:space="preserve">  Deferred maintenance catch-up</t>
        </is>
      </c>
      <c r="C29" s="14" t="n">
        <v>0</v>
      </c>
      <c r="D29" s="14" t="n">
        <v>0</v>
      </c>
      <c r="E29" s="14" t="n">
        <v>0</v>
      </c>
      <c r="F29" s="14" t="n">
        <v>0</v>
      </c>
    </row>
    <row r="30">
      <c r="B30" t="inlineStr">
        <is>
          <t xml:space="preserve">  Bad debt normalization</t>
        </is>
      </c>
      <c r="C30" s="14" t="n">
        <v>0</v>
      </c>
      <c r="D30" s="14" t="n">
        <v>0</v>
      </c>
      <c r="E30" s="14" t="n">
        <v>0</v>
      </c>
      <c r="F30" s="14" t="n">
        <v>0</v>
      </c>
    </row>
    <row r="31">
      <c r="B31" s="6" t="inlineStr">
        <is>
          <t>Total Normalization</t>
        </is>
      </c>
      <c r="C31" s="15">
        <f>SUM(C26:C30)</f>
        <v/>
      </c>
      <c r="D31" s="15">
        <f>SUM(D26:D30)</f>
        <v/>
      </c>
      <c r="E31" s="15">
        <f>SUM(E26:E30)</f>
        <v/>
      </c>
      <c r="F31" s="15">
        <f>SUM(F26:F30)</f>
        <v/>
      </c>
      <c r="G31">
        <f>AVERAGE(C31:E31)</f>
        <v/>
      </c>
    </row>
    <row r="33">
      <c r="B33" t="inlineStr">
        <is>
          <t>Accounting Adjustments</t>
        </is>
      </c>
    </row>
    <row r="34">
      <c r="B34" t="inlineStr">
        <is>
          <t xml:space="preserve">  Revenue recognition timing</t>
        </is>
      </c>
      <c r="C34" s="14" t="n">
        <v>0</v>
      </c>
      <c r="D34" s="14" t="n">
        <v>0</v>
      </c>
      <c r="E34" s="14" t="n">
        <v>0</v>
      </c>
      <c r="F34" s="14" t="n">
        <v>0</v>
      </c>
    </row>
    <row r="35">
      <c r="B35" t="inlineStr">
        <is>
          <t xml:space="preserve">  Cash to accrual adjustments</t>
        </is>
      </c>
      <c r="C35" s="14" t="n">
        <v>0</v>
      </c>
      <c r="D35" s="14" t="n">
        <v>0</v>
      </c>
      <c r="E35" s="14" t="n">
        <v>0</v>
      </c>
      <c r="F35" s="14" t="n">
        <v>0</v>
      </c>
    </row>
    <row r="36">
      <c r="B36" t="inlineStr">
        <is>
          <t xml:space="preserve">  Expense classification</t>
        </is>
      </c>
      <c r="C36" s="14" t="n">
        <v>0</v>
      </c>
      <c r="D36" s="14" t="n">
        <v>0</v>
      </c>
      <c r="E36" s="14" t="n">
        <v>0</v>
      </c>
      <c r="F36" s="14" t="n">
        <v>0</v>
      </c>
    </row>
    <row r="37">
      <c r="B37" t="inlineStr">
        <is>
          <t xml:space="preserve">  Inventory valuation</t>
        </is>
      </c>
      <c r="C37" s="14" t="n">
        <v>0</v>
      </c>
      <c r="D37" s="14" t="n">
        <v>0</v>
      </c>
      <c r="E37" s="14" t="n">
        <v>0</v>
      </c>
      <c r="F37" s="14" t="n">
        <v>0</v>
      </c>
    </row>
    <row r="38">
      <c r="B38" s="6" t="inlineStr">
        <is>
          <t>Total Accounting</t>
        </is>
      </c>
      <c r="C38" s="15">
        <f>SUM(C34:C37)</f>
        <v/>
      </c>
      <c r="D38" s="15">
        <f>SUM(D34:D37)</f>
        <v/>
      </c>
      <c r="E38" s="15">
        <f>SUM(E34:E37)</f>
        <v/>
      </c>
      <c r="F38" s="15">
        <f>SUM(F34:F37)</f>
        <v/>
      </c>
      <c r="G38">
        <f>AVERAGE(C38:E38)</f>
        <v/>
      </c>
    </row>
    <row r="40">
      <c r="B40" t="inlineStr">
        <is>
          <t>Pro Forma Adjustments</t>
        </is>
      </c>
    </row>
    <row r="41">
      <c r="B41" t="inlineStr">
        <is>
          <t xml:space="preserve">  Annualized new customer contracts</t>
        </is>
      </c>
      <c r="C41" s="14" t="n">
        <v>0</v>
      </c>
      <c r="D41" s="14" t="n">
        <v>0</v>
      </c>
      <c r="E41" s="14" t="n">
        <v>0</v>
      </c>
      <c r="F41" s="14" t="n">
        <v>0</v>
      </c>
    </row>
    <row r="42">
      <c r="B42" t="inlineStr">
        <is>
          <t xml:space="preserve">  Cost savings initiatives</t>
        </is>
      </c>
      <c r="C42" s="14" t="n">
        <v>0</v>
      </c>
      <c r="D42" s="14" t="n">
        <v>0</v>
      </c>
      <c r="E42" s="14" t="n">
        <v>0</v>
      </c>
      <c r="F42" s="14" t="n">
        <v>0</v>
      </c>
    </row>
    <row r="43">
      <c r="B43" t="inlineStr">
        <is>
          <t xml:space="preserve">  Pricing adjustments implemented</t>
        </is>
      </c>
      <c r="C43" s="14" t="n">
        <v>0</v>
      </c>
      <c r="D43" s="14" t="n">
        <v>0</v>
      </c>
      <c r="E43" s="14" t="n">
        <v>0</v>
      </c>
      <c r="F43" s="14" t="n">
        <v>0</v>
      </c>
    </row>
    <row r="44">
      <c r="B44" t="inlineStr">
        <is>
          <t xml:space="preserve">  New facility costs</t>
        </is>
      </c>
      <c r="C44" s="14" t="n">
        <v>0</v>
      </c>
      <c r="D44" s="14" t="n">
        <v>0</v>
      </c>
      <c r="E44" s="14" t="n">
        <v>0</v>
      </c>
      <c r="F44" s="14" t="n">
        <v>0</v>
      </c>
    </row>
    <row r="45">
      <c r="B45" s="6" t="inlineStr">
        <is>
          <t>Total Pro Forma</t>
        </is>
      </c>
      <c r="C45" s="15">
        <f>SUM(C41:C44)</f>
        <v/>
      </c>
      <c r="D45" s="15">
        <f>SUM(D41:D44)</f>
        <v/>
      </c>
      <c r="E45" s="15">
        <f>SUM(E41:E44)</f>
        <v/>
      </c>
      <c r="F45" s="15">
        <f>SUM(F41:F44)</f>
        <v/>
      </c>
      <c r="G45">
        <f>AVERAGE(C45:E45)</f>
        <v/>
      </c>
    </row>
    <row r="47">
      <c r="B47" s="6" t="inlineStr">
        <is>
          <t>LESS: DEDUCTIONS (Decrease EBITDA)</t>
        </is>
      </c>
    </row>
    <row r="48">
      <c r="B48" t="inlineStr">
        <is>
          <t xml:space="preserve">  Non-recurring revenue</t>
        </is>
      </c>
      <c r="C48" s="14" t="n">
        <v>0</v>
      </c>
      <c r="D48" s="14" t="n">
        <v>0</v>
      </c>
      <c r="E48" s="14" t="n">
        <v>0</v>
      </c>
      <c r="F48" s="14" t="n">
        <v>0</v>
      </c>
    </row>
    <row r="49">
      <c r="B49" t="inlineStr">
        <is>
          <t xml:space="preserve">  Below-market related party transactions</t>
        </is>
      </c>
      <c r="C49" s="14" t="n">
        <v>0</v>
      </c>
      <c r="D49" s="14" t="n">
        <v>0</v>
      </c>
      <c r="E49" s="14" t="n">
        <v>0</v>
      </c>
      <c r="F49" s="14" t="n">
        <v>0</v>
      </c>
    </row>
    <row r="50">
      <c r="B50" t="inlineStr">
        <is>
          <t xml:space="preserve">  Underaccrued expenses</t>
        </is>
      </c>
      <c r="C50" s="14" t="n">
        <v>0</v>
      </c>
      <c r="D50" s="14" t="n">
        <v>0</v>
      </c>
      <c r="E50" s="14" t="n">
        <v>0</v>
      </c>
      <c r="F50" s="14" t="n">
        <v>0</v>
      </c>
    </row>
    <row r="51">
      <c r="B51" t="inlineStr">
        <is>
          <t xml:space="preserve">  Future expected costs</t>
        </is>
      </c>
      <c r="C51" s="14">
        <f>SUM(C47:C50)</f>
        <v/>
      </c>
      <c r="D51" s="14">
        <f>SUM(D47:D50)</f>
        <v/>
      </c>
      <c r="E51" s="14">
        <f>SUM(E47:E50)</f>
        <v/>
      </c>
      <c r="F51" s="14">
        <f>SUM(F47:F50)</f>
        <v/>
      </c>
      <c r="G51">
        <f>AVERAGE(C51:E51)</f>
        <v/>
      </c>
    </row>
    <row r="52">
      <c r="B52" s="6" t="inlineStr">
        <is>
          <t>Total Deductions</t>
        </is>
      </c>
      <c r="C52" s="15" t="n"/>
      <c r="D52" s="15" t="n"/>
      <c r="E52" s="15" t="n"/>
      <c r="F52" s="15" t="n"/>
    </row>
    <row r="53">
      <c r="C53">
        <f>C15+C23+C31+C38+C45-C51</f>
        <v/>
      </c>
      <c r="D53">
        <f>D15+D23+D31+D38+D45-D51</f>
        <v/>
      </c>
      <c r="E53">
        <f>E15+E23+E31+E38+E45-E51</f>
        <v/>
      </c>
      <c r="F53">
        <f>F15+F23+F31+F38+F45-F51</f>
        <v/>
      </c>
      <c r="G53">
        <f>AVERAGE(C53:E53)</f>
        <v/>
      </c>
    </row>
    <row r="54">
      <c r="B54" s="6" t="inlineStr">
        <is>
          <t>TOTAL ADJUSTMENTS</t>
        </is>
      </c>
      <c r="C54" s="15" t="n"/>
      <c r="D54" s="15" t="n"/>
      <c r="E54" s="15" t="n"/>
      <c r="F54" s="15" t="n"/>
    </row>
    <row r="55">
      <c r="C55">
        <f>C6+C53</f>
        <v/>
      </c>
      <c r="D55">
        <f>D6+D53</f>
        <v/>
      </c>
      <c r="E55">
        <f>E6+E53</f>
        <v/>
      </c>
      <c r="F55">
        <f>F6+F53</f>
        <v/>
      </c>
      <c r="G55">
        <f>AVERAGE(C55:E55)</f>
        <v/>
      </c>
    </row>
    <row r="56">
      <c r="B56" s="18" t="inlineStr">
        <is>
          <t>ADJUSTED EBITDA</t>
        </is>
      </c>
      <c r="C56" s="21">
        <f>IF("Reported Financials"!C12=0,0,C55/"Reported Financials"!C12)</f>
        <v/>
      </c>
      <c r="D56" s="21">
        <f>IF("Reported Financials"!D12=0,0,D55/"Reported Financials"!D12)</f>
        <v/>
      </c>
      <c r="E56" s="21">
        <f>IF("Reported Financials"!E12=0,0,E55/"Reported Financials"!E12)</f>
        <v/>
      </c>
      <c r="F56" s="21">
        <f>IF("Reported Financials"!F12=0,0,F55/"Reported Financials"!F12)</f>
        <v/>
      </c>
      <c r="G56" s="20">
        <f>AVERAGE(C56:E56)</f>
        <v/>
      </c>
    </row>
    <row r="57">
      <c r="B57" s="6" t="inlineStr">
        <is>
          <t>Adjusted EBITDA Margin %</t>
        </is>
      </c>
      <c r="C57" s="22" t="n"/>
      <c r="D57" s="22" t="n"/>
      <c r="E57" s="22" t="n"/>
      <c r="F57" s="22" t="n"/>
    </row>
    <row r="58">
      <c r="C58">
        <f>IF(C6=0,0,C53/C6)</f>
        <v/>
      </c>
      <c r="D58">
        <f>IF(D6=0,0,D53/D6)</f>
        <v/>
      </c>
      <c r="E58">
        <f>IF(E6=0,0,E53/E6)</f>
        <v/>
      </c>
      <c r="F58">
        <f>IF(F6=0,0,F53/F6)</f>
        <v/>
      </c>
      <c r="G58">
        <f>AVERAGE(C58:E58)</f>
        <v/>
      </c>
    </row>
    <row r="59">
      <c r="B59" s="6" t="inlineStr">
        <is>
          <t>Adjustment as % of Reported EBITDA</t>
        </is>
      </c>
      <c r="C59" s="22" t="n"/>
      <c r="D59" s="22" t="n"/>
      <c r="E59" s="22" t="n"/>
      <c r="F59" s="22" t="n"/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41"/>
  <sheetViews>
    <sheetView workbookViewId="0">
      <selection activeCell="A1" sqref="A1"/>
    </sheetView>
  </sheetViews>
  <sheetFormatPr baseColWidth="8" defaultRowHeight="15"/>
  <cols>
    <col width="10" customWidth="1" min="2" max="2"/>
    <col width="15" customWidth="1" min="3" max="3"/>
    <col width="30" customWidth="1" min="4" max="4"/>
    <col width="12" customWidth="1" min="5" max="5"/>
    <col width="12" customWidth="1" min="6" max="6"/>
    <col width="35" customWidth="1" min="7" max="7"/>
    <col width="20" customWidth="1" min="8" max="8"/>
    <col width="12" customWidth="1" min="9" max="9"/>
  </cols>
  <sheetData>
    <row r="2">
      <c r="B2" s="12" t="inlineStr">
        <is>
          <t>DETAILED ADJUSTMENT DOCUMENTATION</t>
        </is>
      </c>
    </row>
    <row r="4">
      <c r="B4" s="23" t="inlineStr">
        <is>
          <t>INSTRUCTIONS: Document each adjustment with supporting evidence and rationale</t>
        </is>
      </c>
    </row>
    <row r="6">
      <c r="B6" s="5" t="inlineStr">
        <is>
          <t>ID</t>
        </is>
      </c>
      <c r="C6" s="5" t="inlineStr">
        <is>
          <t>Category</t>
        </is>
      </c>
      <c r="D6" s="5" t="inlineStr">
        <is>
          <t>Description</t>
        </is>
      </c>
      <c r="E6" s="5" t="inlineStr">
        <is>
          <t>Amount ($000s)</t>
        </is>
      </c>
      <c r="F6" s="5" t="inlineStr">
        <is>
          <t>Period</t>
        </is>
      </c>
      <c r="G6" s="5" t="inlineStr">
        <is>
          <t>Justification</t>
        </is>
      </c>
      <c r="H6" s="5" t="inlineStr">
        <is>
          <t>Source Document</t>
        </is>
      </c>
      <c r="I6" s="5" t="inlineStr">
        <is>
          <t>Approved By</t>
        </is>
      </c>
    </row>
    <row r="7">
      <c r="B7" t="inlineStr">
        <is>
          <t>ADJ-001</t>
        </is>
      </c>
      <c r="C7" t="inlineStr">
        <is>
          <t>Non-Recurring</t>
        </is>
      </c>
      <c r="D7" t="inlineStr">
        <is>
          <t>Litigation settlement</t>
        </is>
      </c>
      <c r="E7" s="14" t="n">
        <v>250</v>
      </c>
      <c r="F7" t="inlineStr">
        <is>
          <t>Year 2</t>
        </is>
      </c>
      <c r="G7" t="inlineStr">
        <is>
          <t>One-time legal settlement for patent dispute. Not expected to recur.</t>
        </is>
      </c>
      <c r="H7" t="inlineStr">
        <is>
          <t>Legal invoice dated 3/15/2023</t>
        </is>
      </c>
      <c r="I7" t="inlineStr">
        <is>
          <t>CFO</t>
        </is>
      </c>
    </row>
    <row r="8">
      <c r="B8" t="inlineStr">
        <is>
          <t>ADJ-002</t>
        </is>
      </c>
      <c r="C8" t="inlineStr">
        <is>
          <t>Owner Comp</t>
        </is>
      </c>
      <c r="D8" t="inlineStr">
        <is>
          <t>Excess owner compensation</t>
        </is>
      </c>
      <c r="E8" s="14" t="n">
        <v>150</v>
      </c>
      <c r="F8" t="inlineStr">
        <is>
          <t>TTM</t>
        </is>
      </c>
      <c r="G8" t="inlineStr">
        <is>
          <t>Owner salary $400K vs market rate $250K for CEO role. Adjustment = $150K.</t>
        </is>
      </c>
      <c r="H8" t="inlineStr">
        <is>
          <t>Payroll records; industry salary survey</t>
        </is>
      </c>
      <c r="I8" t="inlineStr">
        <is>
          <t>Management</t>
        </is>
      </c>
    </row>
    <row r="9">
      <c r="B9" t="inlineStr">
        <is>
          <t>ADJ-003</t>
        </is>
      </c>
      <c r="C9" t="inlineStr">
        <is>
          <t>Non-Recurring</t>
        </is>
      </c>
      <c r="D9" t="inlineStr">
        <is>
          <t>One-time consulting fees</t>
        </is>
      </c>
      <c r="E9" s="14" t="n">
        <v>75</v>
      </c>
      <c r="F9" t="inlineStr">
        <is>
          <t>Year 3</t>
        </is>
      </c>
      <c r="G9" t="inlineStr">
        <is>
          <t>M&amp;A advisory fees for potential acquisition that did not proceed.</t>
        </is>
      </c>
      <c r="H9" t="inlineStr">
        <is>
          <t>Consulting agreement + invoices</t>
        </is>
      </c>
      <c r="I9" t="inlineStr">
        <is>
          <t>CFO</t>
        </is>
      </c>
    </row>
    <row r="10">
      <c r="B10" s="3" t="n"/>
      <c r="E10" s="14" t="n"/>
    </row>
    <row r="11">
      <c r="B11" s="3" t="n"/>
      <c r="E11" s="14" t="n"/>
    </row>
    <row r="12">
      <c r="B12" s="3" t="n"/>
      <c r="E12" s="14" t="n"/>
    </row>
    <row r="13">
      <c r="B13" s="3" t="n"/>
      <c r="E13" s="14" t="n"/>
    </row>
    <row r="14">
      <c r="B14" s="3" t="n"/>
      <c r="E14" s="14" t="n"/>
    </row>
    <row r="15">
      <c r="B15" s="3" t="n"/>
      <c r="E15" s="14" t="n"/>
    </row>
    <row r="16">
      <c r="B16" s="3" t="n"/>
      <c r="E16" s="14" t="n"/>
    </row>
    <row r="17">
      <c r="B17" s="3" t="n"/>
      <c r="E17" s="14" t="n"/>
    </row>
    <row r="18">
      <c r="B18" s="3" t="n"/>
      <c r="E18" s="14" t="n"/>
    </row>
    <row r="19">
      <c r="B19" s="3" t="n"/>
      <c r="E19" s="14" t="n"/>
    </row>
    <row r="20">
      <c r="B20" s="3" t="n"/>
      <c r="E20" s="14" t="n"/>
    </row>
    <row r="21">
      <c r="B21" s="3" t="n"/>
      <c r="E21" s="14" t="n"/>
    </row>
    <row r="22">
      <c r="B22" s="3" t="n"/>
      <c r="E22" s="14" t="n"/>
    </row>
    <row r="23">
      <c r="B23" s="3" t="n"/>
      <c r="E23" s="14" t="n"/>
    </row>
    <row r="24">
      <c r="B24" s="3" t="n"/>
      <c r="E24" s="14" t="n"/>
    </row>
    <row r="25">
      <c r="B25" s="3" t="n"/>
      <c r="E25" s="14" t="n"/>
    </row>
    <row r="26">
      <c r="B26" s="3" t="n"/>
      <c r="E26" s="14" t="n"/>
    </row>
    <row r="27">
      <c r="B27" s="3" t="n"/>
      <c r="E27" s="14" t="n"/>
    </row>
    <row r="28">
      <c r="B28" s="3" t="n"/>
      <c r="E28" s="14" t="n"/>
    </row>
    <row r="29">
      <c r="B29" s="3" t="n"/>
      <c r="E29" s="14" t="n"/>
    </row>
    <row r="32">
      <c r="B32" s="2" t="inlineStr">
        <is>
          <t>ADJUSTMENT CATEGORY SUMMARY</t>
        </is>
      </c>
    </row>
    <row r="33">
      <c r="B33" s="8" t="inlineStr">
        <is>
          <t>Category</t>
        </is>
      </c>
      <c r="C33" s="8" t="inlineStr">
        <is>
          <t>Count</t>
        </is>
      </c>
      <c r="D33" s="8" t="inlineStr">
        <is>
          <t>Total Amount</t>
        </is>
      </c>
      <c r="E33" s="8" t="inlineStr">
        <is>
          <t>% of Total</t>
        </is>
      </c>
      <c r="F33" s="8" t="inlineStr">
        <is>
          <t>Avg per Item</t>
        </is>
      </c>
    </row>
    <row r="34">
      <c r="B34" s="6" t="inlineStr">
        <is>
          <t>Non-Recurring</t>
        </is>
      </c>
    </row>
    <row r="35">
      <c r="B35" s="6" t="inlineStr">
        <is>
          <t>Owner Compensation</t>
        </is>
      </c>
    </row>
    <row r="36">
      <c r="B36" s="6" t="inlineStr">
        <is>
          <t>Owner Discretionary</t>
        </is>
      </c>
    </row>
    <row r="37">
      <c r="B37" s="6" t="inlineStr">
        <is>
          <t>Normalization</t>
        </is>
      </c>
    </row>
    <row r="38">
      <c r="B38" s="6" t="inlineStr">
        <is>
          <t>Accounting</t>
        </is>
      </c>
    </row>
    <row r="39">
      <c r="B39" s="6" t="inlineStr">
        <is>
          <t>Pro Forma</t>
        </is>
      </c>
    </row>
    <row r="40">
      <c r="B40" s="6" t="inlineStr">
        <is>
          <t>Deductions</t>
        </is>
      </c>
    </row>
    <row r="41">
      <c r="B41" s="6" t="inlineStr">
        <is>
          <t>TOTAL</t>
        </is>
      </c>
    </row>
  </sheetData>
  <mergeCells count="3">
    <mergeCell ref="B32:F32"/>
    <mergeCell ref="B4:H4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8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2" t="inlineStr">
        <is>
          <t>REVENUE QUALITY ANALYSIS</t>
        </is>
      </c>
    </row>
    <row r="4">
      <c r="B4" s="24" t="inlineStr">
        <is>
          <t>REVENUE BY PRODUCT LINE</t>
        </is>
      </c>
    </row>
    <row r="5">
      <c r="B5" t="inlineStr">
        <is>
          <t>Product Line</t>
        </is>
      </c>
      <c r="C5" s="11" t="inlineStr">
        <is>
          <t>Year 1</t>
        </is>
      </c>
      <c r="D5" s="11" t="inlineStr">
        <is>
          <t>Year 2</t>
        </is>
      </c>
      <c r="E5" s="11" t="inlineStr">
        <is>
          <t>Year 3</t>
        </is>
      </c>
      <c r="F5" s="11" t="inlineStr">
        <is>
          <t>TTM</t>
        </is>
      </c>
      <c r="G5" s="11" t="inlineStr">
        <is>
          <t>Growth Rate</t>
        </is>
      </c>
    </row>
    <row r="6">
      <c r="B6" t="inlineStr">
        <is>
          <t>Product A</t>
        </is>
      </c>
      <c r="C6" s="14" t="n"/>
      <c r="D6" s="14" t="n"/>
      <c r="E6" s="14" t="n"/>
      <c r="F6" s="14" t="n"/>
      <c r="G6">
        <f>IF(C6=0,0,(F6-C6)/C6/3)</f>
        <v/>
      </c>
    </row>
    <row r="7">
      <c r="B7" t="inlineStr">
        <is>
          <t>Product B</t>
        </is>
      </c>
      <c r="C7" s="14" t="n"/>
      <c r="D7" s="14" t="n"/>
      <c r="E7" s="14" t="n"/>
      <c r="F7" s="14" t="n"/>
      <c r="G7">
        <f>IF(C7=0,0,(F7-C7)/C7/3)</f>
        <v/>
      </c>
    </row>
    <row r="8">
      <c r="B8" t="inlineStr">
        <is>
          <t>Product C</t>
        </is>
      </c>
      <c r="C8" s="14" t="n"/>
      <c r="D8" s="14" t="n"/>
      <c r="E8" s="14" t="n"/>
      <c r="F8" s="14" t="n"/>
      <c r="G8">
        <f>IF(C8=0,0,(F8-C8)/C8/3)</f>
        <v/>
      </c>
    </row>
    <row r="9">
      <c r="B9" t="inlineStr">
        <is>
          <t>Service Revenue</t>
        </is>
      </c>
      <c r="C9" s="14" t="n"/>
      <c r="D9" s="14" t="n"/>
      <c r="E9" s="14" t="n"/>
      <c r="F9" s="14" t="n"/>
      <c r="G9">
        <f>IF(C9=0,0,(F9-C9)/C9/3)</f>
        <v/>
      </c>
    </row>
    <row r="10">
      <c r="B10" t="inlineStr">
        <is>
          <t>Recurring Revenue</t>
        </is>
      </c>
      <c r="C10" s="14" t="n"/>
      <c r="D10" s="14" t="n"/>
      <c r="E10" s="14" t="n"/>
      <c r="F10" s="14" t="n"/>
      <c r="G10">
        <f>IF(C10=0,0,(F10-C10)/C10/3)</f>
        <v/>
      </c>
    </row>
    <row r="11">
      <c r="B11" t="inlineStr">
        <is>
          <t>One-Time Revenue</t>
        </is>
      </c>
      <c r="C11" s="14" t="n"/>
      <c r="D11" s="14" t="n"/>
      <c r="E11" s="14" t="n"/>
      <c r="F11" s="14" t="n"/>
      <c r="G11">
        <f>IF(C11=0,0,(F11-C11)/C11/3)</f>
        <v/>
      </c>
    </row>
    <row r="12">
      <c r="B12" s="6" t="inlineStr">
        <is>
          <t>Total Revenue</t>
        </is>
      </c>
      <c r="C12" s="15">
        <f>SUM(C6:C11)</f>
        <v/>
      </c>
      <c r="D12" s="15">
        <f>SUM(D6:D11)</f>
        <v/>
      </c>
      <c r="E12" s="15">
        <f>SUM(E6:E11)</f>
        <v/>
      </c>
      <c r="F12" s="15">
        <f>SUM(F6:F11)</f>
        <v/>
      </c>
      <c r="G12">
        <f>IF(C12=0,0,(F12-C12)/C12/3)</f>
        <v/>
      </c>
    </row>
    <row r="15">
      <c r="B15" s="24" t="inlineStr">
        <is>
          <t>REVENUE MIX ANALYSIS</t>
        </is>
      </c>
    </row>
    <row r="16">
      <c r="B16" t="inlineStr">
        <is>
          <t>Category</t>
        </is>
      </c>
      <c r="C16" s="11" t="inlineStr">
        <is>
          <t>Year 1</t>
        </is>
      </c>
      <c r="D16" s="11" t="inlineStr">
        <is>
          <t>Year 2</t>
        </is>
      </c>
      <c r="E16" s="11" t="inlineStr">
        <is>
          <t>Year 3</t>
        </is>
      </c>
      <c r="F16" s="11" t="inlineStr">
        <is>
          <t>TTM</t>
        </is>
      </c>
    </row>
    <row r="17">
      <c r="B17" s="6" t="inlineStr">
        <is>
          <t>Recurring Revenue %</t>
        </is>
      </c>
      <c r="C17" s="22">
        <f>IF(C12=0,0,C10/C12)</f>
        <v/>
      </c>
      <c r="D17" s="22">
        <f>IF(D12=0,0,D10/D12)</f>
        <v/>
      </c>
      <c r="E17" s="22">
        <f>IF(E12=0,0,E10/E12)</f>
        <v/>
      </c>
      <c r="F17" s="22">
        <f>IF(F12=0,0,F10/F12)</f>
        <v/>
      </c>
    </row>
    <row r="18">
      <c r="B18" s="6" t="inlineStr">
        <is>
          <t>One-Time Revenue %</t>
        </is>
      </c>
      <c r="C18" s="22">
        <f>IF(C12=0,0,C11/C12)</f>
        <v/>
      </c>
      <c r="D18" s="22">
        <f>IF(D12=0,0,D11/D12)</f>
        <v/>
      </c>
      <c r="E18" s="22">
        <f>IF(E12=0,0,E11/E12)</f>
        <v/>
      </c>
      <c r="F18" s="22">
        <f>IF(F12=0,0,F11/F12)</f>
        <v/>
      </c>
    </row>
    <row r="19">
      <c r="B19" s="6" t="inlineStr">
        <is>
          <t>Top Product % of Total</t>
        </is>
      </c>
      <c r="C19" s="22">
        <f>IF(C12=0,0,MAX(C6:C9)/C12)</f>
        <v/>
      </c>
      <c r="D19" s="22">
        <f>IF(D12=0,0,MAX(D6:D9)/D12)</f>
        <v/>
      </c>
      <c r="E19" s="22">
        <f>IF(E12=0,0,MAX(E6:E9)/E12)</f>
        <v/>
      </c>
      <c r="F19" s="22">
        <f>IF(F12=0,0,MAX(F6:F9)/F12)</f>
        <v/>
      </c>
    </row>
    <row r="20">
      <c r="B20" s="6" t="inlineStr">
        <is>
          <t>Contract-Based Revenue %</t>
        </is>
      </c>
      <c r="C20" s="22" t="n"/>
      <c r="D20" s="22" t="n"/>
      <c r="E20" s="22" t="n"/>
      <c r="F20" s="22" t="n"/>
    </row>
    <row r="21">
      <c r="B21" s="6" t="inlineStr">
        <is>
          <t>Spot Sales %</t>
        </is>
      </c>
      <c r="C21" s="22" t="n"/>
      <c r="D21" s="22" t="n"/>
      <c r="E21" s="22" t="n"/>
      <c r="F21" s="22" t="n"/>
    </row>
    <row r="24">
      <c r="B24" s="24" t="inlineStr">
        <is>
          <t>REVENUE QUALITY METRICS</t>
        </is>
      </c>
    </row>
    <row r="25">
      <c r="B25" s="6" t="inlineStr">
        <is>
          <t>Revenue Growth Rate (CAGR)</t>
        </is>
      </c>
      <c r="C25" s="22">
        <f>0</f>
        <v/>
      </c>
      <c r="D25" s="22">
        <f>IF(C12=0,0,(D12-C12)/C12)</f>
        <v/>
      </c>
      <c r="E25" s="22">
        <f>IF(D12=0,0,(E12-D12)/D12)</f>
        <v/>
      </c>
      <c r="F25" s="22">
        <f>IF(E12=0,0,(F12-E12)/E12)</f>
        <v/>
      </c>
    </row>
    <row r="26">
      <c r="B26" s="6" t="inlineStr">
        <is>
          <t>Organic Growth Rate</t>
        </is>
      </c>
      <c r="C26" s="22" t="n"/>
      <c r="D26" s="22" t="n"/>
      <c r="E26" s="22" t="n"/>
      <c r="F26" s="22" t="n"/>
    </row>
    <row r="27">
      <c r="B27" s="6" t="inlineStr">
        <is>
          <t>Acquisition Growth</t>
        </is>
      </c>
      <c r="C27" s="25" t="n"/>
      <c r="D27" s="25" t="n"/>
      <c r="E27" s="25" t="n"/>
      <c r="F27" s="25" t="n"/>
    </row>
    <row r="28">
      <c r="B28" s="6" t="inlineStr">
        <is>
          <t>Revenue Volatility (Std Dev)</t>
        </is>
      </c>
      <c r="C28" s="22" t="n"/>
      <c r="D28" s="22" t="n"/>
      <c r="E28" s="22" t="n"/>
      <c r="F28" s="22" t="n"/>
    </row>
    <row r="29">
      <c r="B29" s="6" t="inlineStr">
        <is>
          <t>Revenue Predictability Score</t>
        </is>
      </c>
      <c r="C29" s="25" t="n"/>
      <c r="D29" s="25" t="n"/>
      <c r="E29" s="25" t="n"/>
      <c r="F29" s="25" t="n"/>
    </row>
    <row r="32">
      <c r="B32" s="24" t="inlineStr">
        <is>
          <t>REVENUE RECOGNITION REVIEW</t>
        </is>
      </c>
    </row>
    <row r="33">
      <c r="B33" s="6" t="inlineStr">
        <is>
          <t>Revenue Recognition Policy</t>
        </is>
      </c>
      <c r="C33" s="3" t="inlineStr">
        <is>
          <t>GAAP Compliant</t>
        </is>
      </c>
    </row>
    <row r="34">
      <c r="B34" s="6" t="inlineStr">
        <is>
          <t>Deferred Revenue Balance</t>
        </is>
      </c>
      <c r="C34" s="3">
        <f>INPUT</f>
        <v/>
      </c>
    </row>
    <row r="35">
      <c r="B35" s="6" t="inlineStr">
        <is>
          <t>Unbilled Revenue</t>
        </is>
      </c>
      <c r="C35" s="3">
        <f>INPUT</f>
        <v/>
      </c>
    </row>
    <row r="36">
      <c r="B36" s="6" t="inlineStr">
        <is>
          <t>Contract Liabilities</t>
        </is>
      </c>
      <c r="C36" s="3">
        <f>INPUT</f>
        <v/>
      </c>
    </row>
    <row r="37">
      <c r="B37" s="6" t="inlineStr">
        <is>
          <t>ASC 606 Compliance</t>
        </is>
      </c>
      <c r="C37" s="3" t="inlineStr">
        <is>
          <t>Yes/No</t>
        </is>
      </c>
    </row>
    <row r="38">
      <c r="B38" s="6" t="inlineStr">
        <is>
          <t>Revenue Timing Issues</t>
        </is>
      </c>
      <c r="C38" s="3" t="inlineStr">
        <is>
          <t>None Identified</t>
        </is>
      </c>
    </row>
  </sheetData>
  <mergeCells count="5">
    <mergeCell ref="B24:G24"/>
    <mergeCell ref="B2:G2"/>
    <mergeCell ref="B32:G32"/>
    <mergeCell ref="B4:G4"/>
    <mergeCell ref="B15:G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3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2" customWidth="1" min="4" max="4"/>
    <col width="12" customWidth="1" min="5" max="5"/>
    <col width="35" customWidth="1" min="6" max="6"/>
  </cols>
  <sheetData>
    <row r="2">
      <c r="B2" s="12" t="inlineStr">
        <is>
          <t>CUSTOMER CONCENTRATION ANALYSIS</t>
        </is>
      </c>
    </row>
    <row r="4">
      <c r="B4" s="24" t="inlineStr">
        <is>
          <t>TOP 10 CUSTOMERS</t>
        </is>
      </c>
    </row>
    <row r="5">
      <c r="B5" s="11" t="inlineStr">
        <is>
          <t>Rank</t>
        </is>
      </c>
      <c r="C5" s="11" t="inlineStr">
        <is>
          <t>Customer</t>
        </is>
      </c>
      <c r="D5" s="11" t="inlineStr">
        <is>
          <t>Revenue ($000s)</t>
        </is>
      </c>
      <c r="E5" s="11" t="inlineStr">
        <is>
          <t>% of Total</t>
        </is>
      </c>
      <c r="F5" s="11" t="inlineStr">
        <is>
          <t>Years as Customer</t>
        </is>
      </c>
      <c r="G5" s="11" t="inlineStr">
        <is>
          <t>Contract Status</t>
        </is>
      </c>
      <c r="H5" s="11" t="inlineStr">
        <is>
          <t>Risk Level</t>
        </is>
      </c>
    </row>
    <row r="6">
      <c r="B6" t="n">
        <v>1</v>
      </c>
      <c r="C6" s="3" t="inlineStr">
        <is>
          <t>Customer 1</t>
        </is>
      </c>
      <c r="D6" s="14" t="n">
        <v>0</v>
      </c>
      <c r="E6" s="22">
        <f>IF(SUM($D$6:$D$15)=0,0,D6/SUM($D$6:$D$15))</f>
        <v/>
      </c>
      <c r="F6" s="3" t="n"/>
      <c r="G6" s="3" t="inlineStr">
        <is>
          <t>Multi-year contract</t>
        </is>
      </c>
      <c r="H6" s="3" t="inlineStr">
        <is>
          <t>Low</t>
        </is>
      </c>
    </row>
    <row r="7">
      <c r="B7" t="n">
        <v>2</v>
      </c>
      <c r="C7" s="3" t="inlineStr">
        <is>
          <t>Customer 2</t>
        </is>
      </c>
      <c r="D7" s="14" t="n">
        <v>0</v>
      </c>
      <c r="E7" s="22">
        <f>IF(SUM($D$6:$D$15)=0,0,D7/SUM($D$6:$D$15))</f>
        <v/>
      </c>
      <c r="F7" s="3" t="n"/>
      <c r="G7" s="3" t="inlineStr">
        <is>
          <t>Multi-year contract</t>
        </is>
      </c>
      <c r="H7" s="3" t="inlineStr">
        <is>
          <t>Low</t>
        </is>
      </c>
    </row>
    <row r="8">
      <c r="B8" t="n">
        <v>3</v>
      </c>
      <c r="C8" s="3" t="inlineStr">
        <is>
          <t>Customer 3</t>
        </is>
      </c>
      <c r="D8" s="14" t="n">
        <v>0</v>
      </c>
      <c r="E8" s="22">
        <f>IF(SUM($D$6:$D$15)=0,0,D8/SUM($D$6:$D$15))</f>
        <v/>
      </c>
      <c r="F8" s="3" t="n"/>
      <c r="G8" s="3" t="inlineStr">
        <is>
          <t>Multi-year contract</t>
        </is>
      </c>
      <c r="H8" s="3" t="inlineStr">
        <is>
          <t>Low</t>
        </is>
      </c>
    </row>
    <row r="9">
      <c r="B9" t="n">
        <v>4</v>
      </c>
      <c r="C9" s="3" t="inlineStr">
        <is>
          <t>Customer 4</t>
        </is>
      </c>
      <c r="D9" s="14" t="n">
        <v>0</v>
      </c>
      <c r="E9" s="22">
        <f>IF(SUM($D$6:$D$15)=0,0,D9/SUM($D$6:$D$15))</f>
        <v/>
      </c>
      <c r="F9" s="3" t="n"/>
      <c r="G9" s="3" t="inlineStr">
        <is>
          <t>Multi-year contract</t>
        </is>
      </c>
      <c r="H9" s="3" t="inlineStr">
        <is>
          <t>Low</t>
        </is>
      </c>
    </row>
    <row r="10">
      <c r="B10" t="n">
        <v>5</v>
      </c>
      <c r="C10" s="3" t="inlineStr">
        <is>
          <t>Customer 5</t>
        </is>
      </c>
      <c r="D10" s="14" t="n">
        <v>0</v>
      </c>
      <c r="E10" s="22">
        <f>IF(SUM($D$6:$D$15)=0,0,D10/SUM($D$6:$D$15))</f>
        <v/>
      </c>
      <c r="F10" s="3" t="n"/>
      <c r="G10" s="3" t="inlineStr">
        <is>
          <t>Multi-year contract</t>
        </is>
      </c>
      <c r="H10" s="3" t="inlineStr">
        <is>
          <t>Low</t>
        </is>
      </c>
    </row>
    <row r="11">
      <c r="B11" t="n">
        <v>6</v>
      </c>
      <c r="C11" s="3" t="inlineStr">
        <is>
          <t>Customer 6</t>
        </is>
      </c>
      <c r="D11" s="14" t="n">
        <v>0</v>
      </c>
      <c r="E11" s="22">
        <f>IF(SUM($D$6:$D$15)=0,0,D11/SUM($D$6:$D$15))</f>
        <v/>
      </c>
      <c r="F11" s="3" t="n"/>
      <c r="G11" s="3" t="inlineStr">
        <is>
          <t>Multi-year contract</t>
        </is>
      </c>
      <c r="H11" s="3" t="inlineStr">
        <is>
          <t>Low</t>
        </is>
      </c>
    </row>
    <row r="12">
      <c r="B12" t="n">
        <v>7</v>
      </c>
      <c r="C12" s="3" t="inlineStr">
        <is>
          <t>Customer 7</t>
        </is>
      </c>
      <c r="D12" s="14" t="n">
        <v>0</v>
      </c>
      <c r="E12" s="22">
        <f>IF(SUM($D$6:$D$15)=0,0,D12/SUM($D$6:$D$15))</f>
        <v/>
      </c>
      <c r="F12" s="3" t="n"/>
      <c r="G12" s="3" t="inlineStr">
        <is>
          <t>Multi-year contract</t>
        </is>
      </c>
      <c r="H12" s="3" t="inlineStr">
        <is>
          <t>Low</t>
        </is>
      </c>
    </row>
    <row r="13">
      <c r="B13" t="n">
        <v>8</v>
      </c>
      <c r="C13" s="3" t="inlineStr">
        <is>
          <t>Customer 8</t>
        </is>
      </c>
      <c r="D13" s="14" t="n">
        <v>0</v>
      </c>
      <c r="E13" s="22">
        <f>IF(SUM($D$6:$D$15)=0,0,D13/SUM($D$6:$D$15))</f>
        <v/>
      </c>
      <c r="F13" s="3" t="n"/>
      <c r="G13" s="3" t="inlineStr">
        <is>
          <t>Multi-year contract</t>
        </is>
      </c>
      <c r="H13" s="3" t="inlineStr">
        <is>
          <t>Low</t>
        </is>
      </c>
    </row>
    <row r="14">
      <c r="B14" t="n">
        <v>9</v>
      </c>
      <c r="C14" s="3" t="inlineStr">
        <is>
          <t>Customer 9</t>
        </is>
      </c>
      <c r="D14" s="14" t="n">
        <v>0</v>
      </c>
      <c r="E14" s="22">
        <f>IF(SUM($D$6:$D$15)=0,0,D14/SUM($D$6:$D$15))</f>
        <v/>
      </c>
      <c r="F14" s="3" t="n"/>
      <c r="G14" s="3" t="inlineStr">
        <is>
          <t>Multi-year contract</t>
        </is>
      </c>
      <c r="H14" s="3" t="inlineStr">
        <is>
          <t>Low</t>
        </is>
      </c>
    </row>
    <row r="15">
      <c r="B15" t="n">
        <v>10</v>
      </c>
      <c r="C15" s="3" t="inlineStr">
        <is>
          <t>Customer 10</t>
        </is>
      </c>
      <c r="D15" s="14" t="n">
        <v>0</v>
      </c>
      <c r="E15" s="22">
        <f>IF(SUM($D$6:$D$15)=0,0,D15/SUM($D$6:$D$15))</f>
        <v/>
      </c>
      <c r="F15" s="3" t="n"/>
      <c r="G15" s="3" t="inlineStr">
        <is>
          <t>Multi-year contract</t>
        </is>
      </c>
      <c r="H15" s="3" t="inlineStr">
        <is>
          <t>Low</t>
        </is>
      </c>
    </row>
    <row r="17">
      <c r="B17" s="24" t="inlineStr">
        <is>
          <t>CONCENTRATION METRICS</t>
        </is>
      </c>
    </row>
    <row r="18">
      <c r="B18" s="6" t="inlineStr">
        <is>
          <t>Top 1 Customer % of Revenue</t>
        </is>
      </c>
      <c r="C18" s="22">
        <f>E6</f>
        <v/>
      </c>
    </row>
    <row r="19">
      <c r="B19" s="6" t="inlineStr">
        <is>
          <t>Top 3 Customers % of Revenue</t>
        </is>
      </c>
      <c r="C19" s="22">
        <f>SUM(E6:E8)</f>
        <v/>
      </c>
    </row>
    <row r="20">
      <c r="B20" s="6" t="inlineStr">
        <is>
          <t>Top 5 Customers % of Revenue</t>
        </is>
      </c>
      <c r="C20" s="22">
        <f>SUM(E6:E10)</f>
        <v/>
      </c>
    </row>
    <row r="21">
      <c r="B21" s="6" t="inlineStr">
        <is>
          <t>Top 10 Customers % of Revenue</t>
        </is>
      </c>
      <c r="C21" s="22">
        <f>SUM(E6:E15)</f>
        <v/>
      </c>
    </row>
    <row r="22">
      <c r="B22" s="6" t="inlineStr">
        <is>
          <t>Herfindahl-Hirschman Index (HHI)</t>
        </is>
      </c>
      <c r="C22" s="26">
        <f>SUMPRODUCT(E6:E15,E6:E15)*10000</f>
        <v/>
      </c>
    </row>
    <row r="23">
      <c r="B23" s="6" t="inlineStr">
        <is>
          <t>Customer Concentration Risk</t>
        </is>
      </c>
      <c r="C23" s="26" t="n"/>
    </row>
    <row r="26">
      <c r="B26" s="24" t="inlineStr">
        <is>
          <t>CUSTOMER RISK ASSESSMENT</t>
        </is>
      </c>
    </row>
    <row r="27">
      <c r="B27" s="11" t="inlineStr">
        <is>
          <t>Risk Factor</t>
        </is>
      </c>
      <c r="C27" s="11" t="inlineStr">
        <is>
          <t>Score (1-5)</t>
        </is>
      </c>
      <c r="D27" s="11" t="inlineStr">
        <is>
          <t>Weight</t>
        </is>
      </c>
      <c r="E27" s="11" t="inlineStr">
        <is>
          <t>Weighted Score</t>
        </is>
      </c>
      <c r="F27" s="11" t="inlineStr">
        <is>
          <t>Comments</t>
        </is>
      </c>
    </row>
    <row r="28">
      <c r="B28" t="inlineStr">
        <is>
          <t>Customer concentration level</t>
        </is>
      </c>
      <c r="C28" s="3" t="n">
        <v>3</v>
      </c>
      <c r="D28" s="25" t="n">
        <v>0.2</v>
      </c>
      <c r="E28" s="26">
        <f>C28*D28</f>
        <v/>
      </c>
      <c r="F28" s="3" t="n"/>
    </row>
    <row r="29">
      <c r="B29" t="inlineStr">
        <is>
          <t>Contract length &amp; stability</t>
        </is>
      </c>
      <c r="C29" s="3" t="n">
        <v>3</v>
      </c>
      <c r="D29" s="25" t="n">
        <v>0.2</v>
      </c>
      <c r="E29" s="26">
        <f>C29*D29</f>
        <v/>
      </c>
      <c r="F29" s="3" t="n"/>
    </row>
    <row r="30">
      <c r="B30" t="inlineStr">
        <is>
          <t>Payment terms &amp; history</t>
        </is>
      </c>
      <c r="C30" s="3" t="n">
        <v>3</v>
      </c>
      <c r="D30" s="25" t="n">
        <v>0.2</v>
      </c>
      <c r="E30" s="26">
        <f>C30*D30</f>
        <v/>
      </c>
      <c r="F30" s="3" t="n"/>
    </row>
    <row r="31">
      <c r="B31" t="inlineStr">
        <is>
          <t>Industry concentration</t>
        </is>
      </c>
      <c r="C31" s="3" t="n">
        <v>3</v>
      </c>
      <c r="D31" s="25" t="n">
        <v>0.2</v>
      </c>
      <c r="E31" s="26">
        <f>C31*D31</f>
        <v/>
      </c>
      <c r="F31" s="3" t="n"/>
    </row>
    <row r="32">
      <c r="B32" t="inlineStr">
        <is>
          <t>Geographic concentration</t>
        </is>
      </c>
      <c r="C32" s="3" t="n">
        <v>3</v>
      </c>
      <c r="D32" s="25" t="n">
        <v>0.2</v>
      </c>
      <c r="E32" s="26">
        <f>C32*D32</f>
        <v/>
      </c>
      <c r="F32" s="3" t="n"/>
    </row>
    <row r="33">
      <c r="B33" s="6" t="inlineStr">
        <is>
          <t>TOTAL RISK SCORE</t>
        </is>
      </c>
      <c r="E33" s="6">
        <f>SUM(E28:E32)</f>
        <v/>
      </c>
    </row>
  </sheetData>
  <mergeCells count="4">
    <mergeCell ref="B26:H26"/>
    <mergeCell ref="B4:H4"/>
    <mergeCell ref="B2:H2"/>
    <mergeCell ref="B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8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2" t="inlineStr">
        <is>
          <t>WORKING CAPITAL ANALYSIS</t>
        </is>
      </c>
    </row>
    <row r="4">
      <c r="B4" s="24" t="inlineStr">
        <is>
          <t>HISTORICAL NET WORKING CAPITAL</t>
        </is>
      </c>
    </row>
    <row r="5">
      <c r="B5" t="inlineStr">
        <is>
          <t>Component</t>
        </is>
      </c>
      <c r="C5" s="11" t="inlineStr">
        <is>
          <t>Year 1</t>
        </is>
      </c>
      <c r="D5" s="11" t="inlineStr">
        <is>
          <t>Year 2</t>
        </is>
      </c>
      <c r="E5" s="11" t="inlineStr">
        <is>
          <t>Year 3</t>
        </is>
      </c>
      <c r="F5" s="11" t="inlineStr">
        <is>
          <t>TTM</t>
        </is>
      </c>
      <c r="G5" s="11" t="inlineStr">
        <is>
          <t>% of Revenue</t>
        </is>
      </c>
    </row>
    <row r="6">
      <c r="B6" s="6" t="inlineStr">
        <is>
          <t>Current Assets</t>
        </is>
      </c>
      <c r="C6" s="15" t="n"/>
      <c r="D6" s="15" t="n"/>
      <c r="E6" s="15" t="n"/>
      <c r="F6" s="15" t="n"/>
      <c r="G6" s="22" t="n"/>
    </row>
    <row r="7">
      <c r="B7" t="inlineStr">
        <is>
          <t xml:space="preserve">  Cash &amp; Cash Equivalents</t>
        </is>
      </c>
      <c r="C7" s="14" t="n"/>
      <c r="D7" s="14" t="n"/>
      <c r="E7" s="14" t="n"/>
      <c r="F7" s="14" t="n"/>
      <c r="G7" s="22">
        <f>IF("Reported Financials"!F12=0,0,F7/"Reported Financials"!F12)</f>
        <v/>
      </c>
    </row>
    <row r="8">
      <c r="B8" t="inlineStr">
        <is>
          <t xml:space="preserve">  Accounts Receivable</t>
        </is>
      </c>
      <c r="C8" s="14" t="n"/>
      <c r="D8" s="14" t="n"/>
      <c r="E8" s="14" t="n"/>
      <c r="F8" s="14" t="n"/>
      <c r="G8" s="22">
        <f>IF("Reported Financials"!F12=0,0,F8/"Reported Financials"!F12)</f>
        <v/>
      </c>
    </row>
    <row r="9">
      <c r="B9" t="inlineStr">
        <is>
          <t xml:space="preserve">  Inventory</t>
        </is>
      </c>
      <c r="C9" s="14" t="n"/>
      <c r="D9" s="14" t="n"/>
      <c r="E9" s="14" t="n"/>
      <c r="F9" s="14" t="n"/>
      <c r="G9" s="22">
        <f>IF("Reported Financials"!F12=0,0,F9/"Reported Financials"!F12)</f>
        <v/>
      </c>
    </row>
    <row r="10">
      <c r="B10" t="inlineStr">
        <is>
          <t xml:space="preserve">  Prepaid Expenses</t>
        </is>
      </c>
      <c r="C10" s="14" t="n"/>
      <c r="D10" s="14" t="n"/>
      <c r="E10" s="14" t="n"/>
      <c r="F10" s="14" t="n"/>
      <c r="G10" s="22">
        <f>IF("Reported Financials"!F12=0,0,F10/"Reported Financials"!F12)</f>
        <v/>
      </c>
    </row>
    <row r="11">
      <c r="B11" t="inlineStr">
        <is>
          <t xml:space="preserve">  Other Current Assets</t>
        </is>
      </c>
      <c r="C11" s="14" t="n"/>
      <c r="D11" s="14" t="n"/>
      <c r="E11" s="14" t="n"/>
      <c r="F11" s="14" t="n"/>
      <c r="G11" s="22">
        <f>IF("Reported Financials"!F12=0,0,F11/"Reported Financials"!F12)</f>
        <v/>
      </c>
    </row>
    <row r="12">
      <c r="B12" s="6" t="inlineStr">
        <is>
          <t>Total Current Assets</t>
        </is>
      </c>
      <c r="C12" s="15">
        <f>SUM(C7:C11)</f>
        <v/>
      </c>
      <c r="D12" s="15">
        <f>SUM(D7:D11)</f>
        <v/>
      </c>
      <c r="E12" s="15">
        <f>SUM(E7:E11)</f>
        <v/>
      </c>
      <c r="F12" s="15">
        <f>SUM(F7:F11)</f>
        <v/>
      </c>
      <c r="G12" s="22">
        <f>IF("Reported Financials"!F12=0,0,F12/"Reported Financials"!F12)</f>
        <v/>
      </c>
    </row>
    <row r="13">
      <c r="C13" s="15" t="n"/>
      <c r="D13" s="15" t="n"/>
      <c r="E13" s="15" t="n"/>
      <c r="F13" s="15" t="n"/>
    </row>
    <row r="14">
      <c r="B14" s="6" t="inlineStr">
        <is>
          <t>Current Liabilities</t>
        </is>
      </c>
      <c r="C14" s="15" t="n"/>
      <c r="D14" s="15" t="n"/>
      <c r="E14" s="15" t="n"/>
      <c r="F14" s="15" t="n"/>
      <c r="G14" s="22" t="n"/>
    </row>
    <row r="15">
      <c r="B15" t="inlineStr">
        <is>
          <t xml:space="preserve">  Accounts Payable</t>
        </is>
      </c>
      <c r="C15" s="14" t="n"/>
      <c r="D15" s="14" t="n"/>
      <c r="E15" s="14" t="n"/>
      <c r="F15" s="14" t="n"/>
      <c r="G15" s="22">
        <f>IF("Reported Financials"!F12=0,0,F15/"Reported Financials"!F12)</f>
        <v/>
      </c>
    </row>
    <row r="16">
      <c r="B16" t="inlineStr">
        <is>
          <t xml:space="preserve">  Accrued Expenses</t>
        </is>
      </c>
      <c r="C16" s="14" t="n"/>
      <c r="D16" s="14" t="n"/>
      <c r="E16" s="14" t="n"/>
      <c r="F16" s="14" t="n"/>
      <c r="G16" s="22">
        <f>IF("Reported Financials"!F12=0,0,F16/"Reported Financials"!F12)</f>
        <v/>
      </c>
    </row>
    <row r="17">
      <c r="B17" t="inlineStr">
        <is>
          <t xml:space="preserve">  Deferred Revenue</t>
        </is>
      </c>
      <c r="C17" s="14" t="n"/>
      <c r="D17" s="14" t="n"/>
      <c r="E17" s="14" t="n"/>
      <c r="F17" s="14" t="n"/>
      <c r="G17" s="22">
        <f>IF("Reported Financials"!F12=0,0,F17/"Reported Financials"!F12)</f>
        <v/>
      </c>
    </row>
    <row r="18">
      <c r="B18" t="inlineStr">
        <is>
          <t xml:space="preserve">  Other Current Liabilities</t>
        </is>
      </c>
      <c r="C18" s="14" t="n"/>
      <c r="D18" s="14" t="n"/>
      <c r="E18" s="14" t="n"/>
      <c r="F18" s="14" t="n"/>
      <c r="G18" s="22">
        <f>IF("Reported Financials"!F12=0,0,F18/"Reported Financials"!F12)</f>
        <v/>
      </c>
    </row>
    <row r="19">
      <c r="B19" s="6" t="inlineStr">
        <is>
          <t>Total Current Liabilities</t>
        </is>
      </c>
      <c r="C19" s="15">
        <f>SUM(C15:C18)</f>
        <v/>
      </c>
      <c r="D19" s="15">
        <f>SUM(D15:D18)</f>
        <v/>
      </c>
      <c r="E19" s="15">
        <f>SUM(E15:E18)</f>
        <v/>
      </c>
      <c r="F19" s="15">
        <f>SUM(F15:F18)</f>
        <v/>
      </c>
      <c r="G19" s="22">
        <f>IF("Reported Financials"!F12=0,0,F19/"Reported Financials"!F12)</f>
        <v/>
      </c>
    </row>
    <row r="20">
      <c r="C20" s="15" t="n"/>
      <c r="D20" s="15" t="n"/>
      <c r="E20" s="15" t="n"/>
      <c r="F20" s="15" t="n"/>
    </row>
    <row r="21">
      <c r="B21" s="6" t="inlineStr">
        <is>
          <t>Net Working Capital (NWC)</t>
        </is>
      </c>
      <c r="C21" s="15">
        <f>C12-C19</f>
        <v/>
      </c>
      <c r="D21" s="15">
        <f>D12-D19</f>
        <v/>
      </c>
      <c r="E21" s="15">
        <f>E12-E19</f>
        <v/>
      </c>
      <c r="F21" s="15">
        <f>F12-F19</f>
        <v/>
      </c>
      <c r="G21" s="22">
        <f>IF("Reported Financials"!F12=0,0,F21/"Reported Financials"!F12)</f>
        <v/>
      </c>
    </row>
    <row r="22">
      <c r="B22" s="6" t="inlineStr">
        <is>
          <t>NWC excluding Cash</t>
        </is>
      </c>
      <c r="C22" s="15">
        <f>C21-C7</f>
        <v/>
      </c>
      <c r="D22" s="15">
        <f>D21-D7</f>
        <v/>
      </c>
      <c r="E22" s="15">
        <f>E21-E7</f>
        <v/>
      </c>
      <c r="F22" s="15">
        <f>F21-F7</f>
        <v/>
      </c>
      <c r="G22" s="22">
        <f>IF("Reported Financials"!F12=0,0,F22/"Reported Financials"!F12)</f>
        <v/>
      </c>
    </row>
    <row r="23">
      <c r="B23" s="6" t="inlineStr">
        <is>
          <t>NWC as % of Revenue</t>
        </is>
      </c>
      <c r="C23" s="15">
        <f>IF("Reported Financials"!C12=0,0,C22/"Reported Financials"!C12)</f>
        <v/>
      </c>
      <c r="D23" s="15">
        <f>IF("Reported Financials"!D12=0,0,D22/"Reported Financials"!D12)</f>
        <v/>
      </c>
      <c r="E23" s="15">
        <f>IF("Reported Financials"!E12=0,0,E22/"Reported Financials"!E12)</f>
        <v/>
      </c>
      <c r="F23" s="15">
        <f>IF("Reported Financials"!F12=0,0,F22/"Reported Financials"!F12)</f>
        <v/>
      </c>
      <c r="G23" s="22">
        <f>IF("Reported Financials"!F12=0,0,F23/"Reported Financials"!F12)</f>
        <v/>
      </c>
    </row>
    <row r="24">
      <c r="B24" s="24" t="inlineStr">
        <is>
          <t>WORKING CAPITAL DAYS ANALYSIS</t>
        </is>
      </c>
    </row>
    <row r="25">
      <c r="B25" t="inlineStr">
        <is>
          <t>Metric</t>
        </is>
      </c>
      <c r="C25" s="11" t="inlineStr">
        <is>
          <t>Year 1</t>
        </is>
      </c>
      <c r="D25" s="11" t="inlineStr">
        <is>
          <t>Year 2</t>
        </is>
      </c>
      <c r="E25" s="11" t="inlineStr">
        <is>
          <t>Year 3</t>
        </is>
      </c>
      <c r="F25" s="11" t="inlineStr">
        <is>
          <t>TTM</t>
        </is>
      </c>
    </row>
    <row r="26">
      <c r="B26" s="6" t="inlineStr">
        <is>
          <t>Days Sales Outstanding (DSO)</t>
        </is>
      </c>
      <c r="C26" s="27">
        <f>IF("Reported Financials"!C12=0,0,(C8/"Reported Financials"!C12)*365)</f>
        <v/>
      </c>
      <c r="D26" s="27">
        <f>IF("Reported Financials"!D12=0,0,(D8/"Reported Financials"!D12)*365)</f>
        <v/>
      </c>
      <c r="E26" s="27">
        <f>IF("Reported Financials"!E12=0,0,(E8/"Reported Financials"!E12)*365)</f>
        <v/>
      </c>
      <c r="F26" s="27">
        <f>IF("Reported Financials"!F12=0,0,(F8/"Reported Financials"!F12)*365)</f>
        <v/>
      </c>
    </row>
    <row r="27">
      <c r="B27" s="6" t="inlineStr">
        <is>
          <t>Days Inventory Outstanding (DIO)</t>
        </is>
      </c>
      <c r="C27" s="27">
        <f>IF("Reported Financials"!C18=0,0,(C9/"Reported Financials"!C18)*365)</f>
        <v/>
      </c>
      <c r="D27" s="27">
        <f>IF("Reported Financials"!D18=0,0,(D9/"Reported Financials"!D18)*365)</f>
        <v/>
      </c>
      <c r="E27" s="27">
        <f>IF("Reported Financials"!E18=0,0,(E9/"Reported Financials"!E18)*365)</f>
        <v/>
      </c>
      <c r="F27" s="27">
        <f>IF("Reported Financials"!F18=0,0,(F9/"Reported Financials"!F18)*365)</f>
        <v/>
      </c>
    </row>
    <row r="28">
      <c r="B28" s="6" t="inlineStr">
        <is>
          <t>Days Payable Outstanding (DPO)</t>
        </is>
      </c>
      <c r="C28" s="27">
        <f>IF("Reported Financials"!C18=0,0,(C15/"Reported Financials"!C18)*365)</f>
        <v/>
      </c>
      <c r="D28" s="27">
        <f>IF("Reported Financials"!D18=0,0,(D15/"Reported Financials"!D18)*365)</f>
        <v/>
      </c>
      <c r="E28" s="27">
        <f>IF("Reported Financials"!E18=0,0,(E15/"Reported Financials"!E18)*365)</f>
        <v/>
      </c>
      <c r="F28" s="27">
        <f>IF("Reported Financials"!F18=0,0,(F15/"Reported Financials"!F18)*365)</f>
        <v/>
      </c>
    </row>
    <row r="29">
      <c r="B29" s="6" t="inlineStr">
        <is>
          <t>Cash Conversion Cycle (CCC)</t>
        </is>
      </c>
      <c r="C29" s="27">
        <f>C26+C27-C28</f>
        <v/>
      </c>
      <c r="D29" s="27">
        <f>D26+D27-D28</f>
        <v/>
      </c>
      <c r="E29" s="27">
        <f>E26+E27-E28</f>
        <v/>
      </c>
      <c r="F29" s="27">
        <f>F26+F27-F28</f>
        <v/>
      </c>
    </row>
    <row r="31">
      <c r="B31" s="24" t="inlineStr">
        <is>
          <t>NET WORKING CAPITAL TARGET</t>
        </is>
      </c>
    </row>
    <row r="32">
      <c r="B32" s="6" t="inlineStr">
        <is>
          <t>Calculation Method</t>
        </is>
      </c>
      <c r="C32" t="inlineStr">
        <is>
          <t>Trailing 12-Month Average</t>
        </is>
      </c>
    </row>
    <row r="33">
      <c r="B33" s="6" t="inlineStr">
        <is>
          <t>Historical NWC Average</t>
        </is>
      </c>
      <c r="C33" s="15">
        <f>AVERAGE(C22:F22)</f>
        <v/>
      </c>
    </row>
    <row r="34">
      <c r="B34" s="6" t="inlineStr">
        <is>
          <t>Seasonal Adjustment</t>
        </is>
      </c>
      <c r="C34" s="14">
        <f>INPUT</f>
        <v/>
      </c>
    </row>
    <row r="35">
      <c r="B35" s="6" t="inlineStr">
        <is>
          <t>Growth Adjustment</t>
        </is>
      </c>
      <c r="C35" s="14">
        <f>INPUT</f>
        <v/>
      </c>
    </row>
    <row r="36">
      <c r="B36" s="6" t="inlineStr">
        <is>
          <t>Target NWC for Transaction</t>
        </is>
      </c>
      <c r="C36" s="15">
        <f>FORMULA</f>
        <v/>
      </c>
    </row>
    <row r="37">
      <c r="B37" s="6" t="inlineStr">
        <is>
          <t>Target NWC as % of Revenue</t>
        </is>
      </c>
      <c r="C37" s="15">
        <f>C33+C34+C35</f>
        <v/>
      </c>
    </row>
    <row r="38">
      <c r="C38">
        <f>IF("Reported Financials"!F12=0,0,C37/"Reported Financials"!F12)</f>
        <v/>
      </c>
    </row>
  </sheetData>
  <mergeCells count="4">
    <mergeCell ref="B24:G24"/>
    <mergeCell ref="B2:G2"/>
    <mergeCell ref="B4:G4"/>
    <mergeCell ref="B31:G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53"/>
  <sheetViews>
    <sheetView workbookViewId="0">
      <selection activeCell="A1" sqref="A1"/>
    </sheetView>
  </sheetViews>
  <sheetFormatPr baseColWidth="8" defaultRowHeight="15"/>
  <cols>
    <col width="35" customWidth="1" min="2" max="2"/>
    <col width="18" customWidth="1" min="3" max="3"/>
  </cols>
  <sheetData>
    <row r="2">
      <c r="B2" s="12" t="inlineStr">
        <is>
          <t>PROOF OF CASH ANALYSIS</t>
        </is>
      </c>
    </row>
    <row r="4">
      <c r="B4" s="13" t="inlineStr">
        <is>
          <t>PURPOSE: Reconcile reported earnings to actual cash transactions</t>
        </is>
      </c>
    </row>
    <row r="6">
      <c r="B6" s="24" t="inlineStr">
        <is>
          <t>CASH RECONCILIATION - TTM</t>
        </is>
      </c>
    </row>
    <row r="7">
      <c r="B7" s="6" t="inlineStr">
        <is>
          <t>Beginning Cash Balance (per books)</t>
        </is>
      </c>
      <c r="C7" s="14" t="n">
        <v>0</v>
      </c>
    </row>
    <row r="8"/>
    <row r="9">
      <c r="B9" t="inlineStr">
        <is>
          <t>Add: Cash Receipts</t>
        </is>
      </c>
    </row>
    <row r="10">
      <c r="B10" t="inlineStr">
        <is>
          <t xml:space="preserve">  Cash from customers</t>
        </is>
      </c>
      <c r="C10" s="14" t="n">
        <v>0</v>
      </c>
    </row>
    <row r="11">
      <c r="B11" t="inlineStr">
        <is>
          <t xml:space="preserve">  Interest received</t>
        </is>
      </c>
      <c r="C11" s="14" t="n">
        <v>0</v>
      </c>
    </row>
    <row r="12">
      <c r="B12" t="inlineStr">
        <is>
          <t xml:space="preserve">  Other cash receipts</t>
        </is>
      </c>
      <c r="C12" s="14" t="n">
        <v>0</v>
      </c>
    </row>
    <row r="13">
      <c r="B13" s="6" t="inlineStr">
        <is>
          <t>Total Cash Receipts</t>
        </is>
      </c>
      <c r="C13" s="15">
        <f>SUM(C10:C12)</f>
        <v/>
      </c>
    </row>
    <row r="14"/>
    <row r="15">
      <c r="B15" t="inlineStr">
        <is>
          <t>Less: Cash Disbursements</t>
        </is>
      </c>
    </row>
    <row r="16">
      <c r="B16" t="inlineStr">
        <is>
          <t xml:space="preserve">  Payments to suppliers</t>
        </is>
      </c>
      <c r="C16" s="14" t="n">
        <v>0</v>
      </c>
    </row>
    <row r="17">
      <c r="B17" t="inlineStr">
        <is>
          <t xml:space="preserve">  Employee compensation</t>
        </is>
      </c>
      <c r="C17" s="14" t="n">
        <v>0</v>
      </c>
    </row>
    <row r="18">
      <c r="B18" t="inlineStr">
        <is>
          <t xml:space="preserve">  Operating expenses paid</t>
        </is>
      </c>
      <c r="C18" s="14" t="n">
        <v>0</v>
      </c>
    </row>
    <row r="19">
      <c r="B19" t="inlineStr">
        <is>
          <t xml:space="preserve">  Interest paid</t>
        </is>
      </c>
      <c r="C19" s="14" t="n">
        <v>0</v>
      </c>
    </row>
    <row r="20">
      <c r="B20" t="inlineStr">
        <is>
          <t xml:space="preserve">  Taxes paid</t>
        </is>
      </c>
      <c r="C20" s="14" t="n">
        <v>0</v>
      </c>
    </row>
    <row r="21">
      <c r="B21" t="inlineStr">
        <is>
          <t xml:space="preserve">  Other cash payments</t>
        </is>
      </c>
      <c r="C21" s="14" t="n">
        <v>0</v>
      </c>
    </row>
    <row r="22">
      <c r="B22" s="6" t="inlineStr">
        <is>
          <t>Total Cash Disbursements</t>
        </is>
      </c>
      <c r="C22" s="15">
        <f>SUM(C16:C21)</f>
        <v/>
      </c>
    </row>
    <row r="23"/>
    <row r="24">
      <c r="B24" s="6" t="inlineStr">
        <is>
          <t>Net Cash from Operations</t>
        </is>
      </c>
      <c r="C24" s="15">
        <f>C13-C22</f>
        <v/>
      </c>
    </row>
    <row r="25"/>
    <row r="26">
      <c r="B26" s="6" t="inlineStr">
        <is>
          <t>Ending Cash Balance (per books)</t>
        </is>
      </c>
      <c r="C26" s="15">
        <f>C7+C24</f>
        <v/>
      </c>
    </row>
    <row r="27">
      <c r="B27" s="6" t="inlineStr">
        <is>
          <t>Ending Cash Balance (per bank)</t>
        </is>
      </c>
      <c r="C27" s="14" t="n">
        <v>0</v>
      </c>
    </row>
    <row r="28">
      <c r="B28" s="6" t="inlineStr">
        <is>
          <t>Difference (Reconciliation)</t>
        </is>
      </c>
      <c r="C28" s="15">
        <f>C26-C27</f>
        <v/>
      </c>
    </row>
    <row r="30">
      <c r="B30" s="24" t="inlineStr">
        <is>
          <t>REVENUE TO CASH COLLECTIONS</t>
        </is>
      </c>
    </row>
    <row r="31">
      <c r="B31" s="6" t="inlineStr">
        <is>
          <t>Reported Revenue</t>
        </is>
      </c>
      <c r="C31" s="28" t="n"/>
    </row>
    <row r="32">
      <c r="B32" s="6" t="inlineStr">
        <is>
          <t>Add: Beginning AR Balance</t>
        </is>
      </c>
      <c r="C32" s="14" t="n">
        <v>0</v>
      </c>
    </row>
    <row r="33">
      <c r="B33" s="6" t="inlineStr">
        <is>
          <t>Less: Ending AR Balance</t>
        </is>
      </c>
      <c r="C33" s="14" t="n">
        <v>0</v>
      </c>
    </row>
    <row r="34">
      <c r="B34" s="6" t="inlineStr">
        <is>
          <t>Cash Collections (calculated)</t>
        </is>
      </c>
      <c r="C34" s="15" t="n"/>
    </row>
    <row r="35">
      <c r="B35" s="6" t="inlineStr">
        <is>
          <t>Cash Collections (per bank)</t>
        </is>
      </c>
      <c r="C35" s="14">
        <f>C32+C33-C34</f>
        <v/>
      </c>
    </row>
    <row r="36">
      <c r="B36" s="6" t="inlineStr">
        <is>
          <t>Variance</t>
        </is>
      </c>
      <c r="C36" s="15" t="n"/>
    </row>
    <row r="37">
      <c r="B37" s="6" t="inlineStr">
        <is>
          <t>Variance %</t>
        </is>
      </c>
      <c r="C37" s="22">
        <f>C35-C36</f>
        <v/>
      </c>
    </row>
    <row r="38">
      <c r="C38">
        <f>IF(C36=0,0,C37/C36)</f>
        <v/>
      </c>
    </row>
    <row r="39">
      <c r="B39" s="24" t="inlineStr">
        <is>
          <t>EBITDA TO OPERATING CASH FLOW</t>
        </is>
      </c>
    </row>
    <row r="40">
      <c r="B40" t="inlineStr">
        <is>
          <t>Adjusted EBITDA</t>
        </is>
      </c>
      <c r="C40" s="28" t="n"/>
    </row>
    <row r="42">
      <c r="B42" t="inlineStr">
        <is>
          <t>Less: Cash Taxes Paid</t>
        </is>
      </c>
      <c r="C42" s="14" t="n">
        <v>0</v>
      </c>
    </row>
    <row r="43">
      <c r="B43" t="inlineStr">
        <is>
          <t>Add/Less: Change in NWC</t>
        </is>
      </c>
      <c r="C43" s="14" t="n">
        <v>0</v>
      </c>
    </row>
    <row r="44">
      <c r="B44" t="inlineStr">
        <is>
          <t>Less: CapEx (maintenance)</t>
        </is>
      </c>
      <c r="C44" s="14" t="n">
        <v>0</v>
      </c>
    </row>
    <row r="46">
      <c r="B46" s="6" t="inlineStr">
        <is>
          <t>Free Cash Flow</t>
        </is>
      </c>
      <c r="C46" s="15" t="n"/>
    </row>
    <row r="47">
      <c r="B47" t="inlineStr">
        <is>
          <t>FCF / EBITDA Conversion %</t>
        </is>
      </c>
      <c r="C47" s="22" t="n"/>
    </row>
    <row r="48">
      <c r="C48">
        <f>"EBITDA Bridge"!F55-C44-C45-C46</f>
        <v/>
      </c>
    </row>
    <row r="49">
      <c r="B49" s="6" t="inlineStr">
        <is>
          <t>Operating Cash Flow (per stmt)</t>
        </is>
      </c>
      <c r="C49" s="14">
        <f>IF("EBITDA Bridge"!F55=0,0,C48/"EBITDA Bridge"!F55)</f>
        <v/>
      </c>
    </row>
    <row r="50">
      <c r="B50" s="6" t="inlineStr">
        <is>
          <t>Calculated Operating Cash Flow</t>
        </is>
      </c>
      <c r="C50" s="15" t="n"/>
    </row>
    <row r="51">
      <c r="B51" s="6" t="inlineStr">
        <is>
          <t>Variance</t>
        </is>
      </c>
      <c r="C51" s="15" t="n"/>
    </row>
    <row r="52">
      <c r="C52">
        <f>"EBITDA Bridge"!F55-C44-C45</f>
        <v/>
      </c>
    </row>
    <row r="53">
      <c r="C53">
        <f>C51-C52</f>
        <v/>
      </c>
    </row>
  </sheetData>
  <mergeCells count="5">
    <mergeCell ref="B4:F4"/>
    <mergeCell ref="B30:F30"/>
    <mergeCell ref="B39:F39"/>
    <mergeCell ref="B6:F6"/>
    <mergeCell ref="B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35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3" max="3"/>
    <col width="25" customWidth="1" min="4" max="4"/>
    <col width="15" customWidth="1" min="5" max="5"/>
  </cols>
  <sheetData>
    <row r="2">
      <c r="B2" s="12" t="inlineStr">
        <is>
          <t>INTEGRATION WITH FINANCIAL MODELS</t>
        </is>
      </c>
    </row>
    <row r="4">
      <c r="B4" s="23" t="inlineStr">
        <is>
          <t>INSTRUCTIONS: Link QoE findings to DCF, LBO, and Merger models</t>
        </is>
      </c>
    </row>
    <row r="6">
      <c r="B6" s="24" t="inlineStr">
        <is>
          <t>KEY QOE OUTPUTS FOR MODEL INTEGRATION</t>
        </is>
      </c>
    </row>
    <row r="7">
      <c r="B7" s="11" t="inlineStr">
        <is>
          <t>QoE Output</t>
        </is>
      </c>
      <c r="C7" s="11" t="inlineStr">
        <is>
          <t>Value</t>
        </is>
      </c>
      <c r="D7" s="11" t="inlineStr">
        <is>
          <t>Link to QoE</t>
        </is>
      </c>
      <c r="E7" s="11" t="inlineStr">
        <is>
          <t>Usage in Models</t>
        </is>
      </c>
    </row>
    <row r="8">
      <c r="B8" s="6" t="inlineStr">
        <is>
          <t>Adjusted EBITDA (TTM)</t>
        </is>
      </c>
      <c r="C8" s="7">
        <f>EBITDA Bridge!F56</f>
        <v/>
      </c>
      <c r="D8" s="29">
        <f>EBITDA Bridge!F56</f>
        <v/>
      </c>
      <c r="E8" t="inlineStr">
        <is>
          <t>Use in all models</t>
        </is>
      </c>
    </row>
    <row r="9">
      <c r="B9" s="6" t="inlineStr">
        <is>
          <t>Adjusted EBITDA Margin %</t>
        </is>
      </c>
      <c r="C9" s="7">
        <f>EBITDA Bridge!F57</f>
        <v/>
      </c>
      <c r="D9" s="29">
        <f>EBITDA Bridge!F57</f>
        <v/>
      </c>
      <c r="E9" t="inlineStr">
        <is>
          <t>For margin assumptions</t>
        </is>
      </c>
    </row>
    <row r="10">
      <c r="B10" s="6" t="inlineStr">
        <is>
          <t>Revenue (TTM)</t>
        </is>
      </c>
      <c r="C10" s="7">
        <f>Reported Financials!F12</f>
        <v/>
      </c>
      <c r="D10" s="29">
        <f>Reported Financials!F12</f>
        <v/>
      </c>
      <c r="E10" t="inlineStr">
        <is>
          <t>Base for projections</t>
        </is>
      </c>
    </row>
    <row r="11">
      <c r="B11" s="6" t="inlineStr">
        <is>
          <t>Revenue Growth Rate</t>
        </is>
      </c>
      <c r="C11" s="7">
        <f>Revenue Analysis!C25</f>
        <v/>
      </c>
      <c r="D11" s="29">
        <f>Revenue Analysis!C25</f>
        <v/>
      </c>
      <c r="E11" t="inlineStr">
        <is>
          <t>Growth assumptions</t>
        </is>
      </c>
    </row>
    <row r="12">
      <c r="B12" s="6" t="inlineStr">
        <is>
          <t>Target Net Working Capital</t>
        </is>
      </c>
      <c r="C12" s="7">
        <f>Working Capital!C40</f>
        <v/>
      </c>
      <c r="D12" s="29">
        <f>Working Capital!C40</f>
        <v/>
      </c>
      <c r="E12" t="inlineStr">
        <is>
          <t>For NWC peg</t>
        </is>
      </c>
    </row>
    <row r="13">
      <c r="B13" s="6" t="inlineStr">
        <is>
          <t>Customer Concentration Risk</t>
        </is>
      </c>
      <c r="C13" s="7">
        <f>Customer Concentration!C23</f>
        <v/>
      </c>
      <c r="D13" s="29">
        <f>Customer Concentration!C23</f>
        <v/>
      </c>
      <c r="E13" t="inlineStr">
        <is>
          <t>Risk adjustment</t>
        </is>
      </c>
    </row>
    <row r="14">
      <c r="B14" s="6" t="inlineStr">
        <is>
          <t>FCF Conversion Rate</t>
        </is>
      </c>
      <c r="C14" s="7">
        <f>Proof of Cash!C48</f>
        <v/>
      </c>
      <c r="D14" s="29">
        <f>Proof of Cash!C48</f>
        <v/>
      </c>
      <c r="E14" t="inlineStr">
        <is>
          <t>Cash generation</t>
        </is>
      </c>
    </row>
    <row r="16">
      <c r="B16" s="24" t="inlineStr">
        <is>
          <t>DCF MODEL ADJUSTMENTS</t>
        </is>
      </c>
    </row>
    <row r="17">
      <c r="B17" s="11" t="inlineStr">
        <is>
          <t>Finding</t>
        </is>
      </c>
      <c r="C17" s="11" t="inlineStr">
        <is>
          <t>Impact</t>
        </is>
      </c>
      <c r="D17" s="11" t="inlineStr">
        <is>
          <t>DCF Adjustment</t>
        </is>
      </c>
      <c r="E17" s="11" t="inlineStr">
        <is>
          <t>Value Impact ($mm)</t>
        </is>
      </c>
    </row>
    <row r="18">
      <c r="B18" t="inlineStr">
        <is>
          <t>Adjusted EBITDA vs Reported</t>
        </is>
      </c>
      <c r="C18" t="inlineStr">
        <is>
          <t>Higher sustainable earnings</t>
        </is>
      </c>
      <c r="D18" t="inlineStr">
        <is>
          <t>Increase base EBITDA</t>
        </is>
      </c>
      <c r="E18" s="14" t="n">
        <v>0</v>
      </c>
    </row>
    <row r="19">
      <c r="B19" t="inlineStr">
        <is>
          <t>Revenue growth quality</t>
        </is>
      </c>
      <c r="C19" t="inlineStr">
        <is>
          <t>Predictable growth</t>
        </is>
      </c>
      <c r="D19" t="inlineStr">
        <is>
          <t>Adjust growth rate</t>
        </is>
      </c>
      <c r="E19" s="14" t="n">
        <v>0</v>
      </c>
    </row>
    <row r="20">
      <c r="B20" t="inlineStr">
        <is>
          <t>Customer concentration</t>
        </is>
      </c>
      <c r="C20" t="inlineStr">
        <is>
          <t>Revenue risk</t>
        </is>
      </c>
      <c r="D20" t="inlineStr">
        <is>
          <t>Increase discount rate</t>
        </is>
      </c>
      <c r="E20" s="14" t="n">
        <v>0</v>
      </c>
    </row>
    <row r="21">
      <c r="B21" t="inlineStr">
        <is>
          <t>Working capital needs</t>
        </is>
      </c>
      <c r="C21" t="inlineStr">
        <is>
          <t>Cash requirements</t>
        </is>
      </c>
      <c r="D21" t="inlineStr">
        <is>
          <t>Update NWC assumptions</t>
        </is>
      </c>
      <c r="E21" s="14" t="n">
        <v>0</v>
      </c>
    </row>
    <row r="23">
      <c r="B23" s="24" t="inlineStr">
        <is>
          <t>LBO MODEL ADJUSTMENTS</t>
        </is>
      </c>
    </row>
    <row r="24">
      <c r="B24" s="11" t="inlineStr">
        <is>
          <t>Finding</t>
        </is>
      </c>
      <c r="C24" s="11" t="inlineStr">
        <is>
          <t>Impact</t>
        </is>
      </c>
      <c r="D24" s="11" t="inlineStr">
        <is>
          <t>LBO Adjustment</t>
        </is>
      </c>
      <c r="E24" s="11" t="inlineStr">
        <is>
          <t>IRR Impact</t>
        </is>
      </c>
    </row>
    <row r="25">
      <c r="B25" t="inlineStr">
        <is>
          <t>Adjusted EBITDA</t>
        </is>
      </c>
      <c r="C25" t="inlineStr">
        <is>
          <t>Entry multiple basis</t>
        </is>
      </c>
      <c r="D25" t="inlineStr">
        <is>
          <t>Update entry EBITDA</t>
        </is>
      </c>
      <c r="E25" s="25" t="n">
        <v>0</v>
      </c>
    </row>
    <row r="26">
      <c r="B26" t="inlineStr">
        <is>
          <t>FCF conversion</t>
        </is>
      </c>
      <c r="C26" t="inlineStr">
        <is>
          <t>Debt paydown capacity</t>
        </is>
      </c>
      <c r="D26" t="inlineStr">
        <is>
          <t>Adjust cash sweep</t>
        </is>
      </c>
      <c r="E26" s="25" t="n">
        <v>0</v>
      </c>
    </row>
    <row r="27">
      <c r="B27" t="inlineStr">
        <is>
          <t>CapEx requirements</t>
        </is>
      </c>
      <c r="C27" t="inlineStr">
        <is>
          <t>Cash available</t>
        </is>
      </c>
      <c r="D27" t="inlineStr">
        <is>
          <t>Update CapEx assumptions</t>
        </is>
      </c>
      <c r="E27" s="25" t="n">
        <v>0</v>
      </c>
    </row>
    <row r="28">
      <c r="B28" t="inlineStr">
        <is>
          <t>Working capital target</t>
        </is>
      </c>
      <c r="C28" t="inlineStr">
        <is>
          <t>Sources &amp; Uses</t>
        </is>
      </c>
      <c r="D28" t="inlineStr">
        <is>
          <t>Update NWC in S&amp;U</t>
        </is>
      </c>
      <c r="E28" s="25" t="n">
        <v>0</v>
      </c>
    </row>
    <row r="30">
      <c r="B30" s="24" t="inlineStr">
        <is>
          <t>MERGER MODEL ADJUSTMENTS</t>
        </is>
      </c>
    </row>
    <row r="31">
      <c r="B31" s="11" t="inlineStr">
        <is>
          <t>Finding</t>
        </is>
      </c>
      <c r="C31" s="11" t="inlineStr">
        <is>
          <t>Impact</t>
        </is>
      </c>
      <c r="D31" s="11" t="inlineStr">
        <is>
          <t>Merger Adjustment</t>
        </is>
      </c>
      <c r="E31" s="11" t="inlineStr">
        <is>
          <t>EPS Impact</t>
        </is>
      </c>
    </row>
    <row r="32">
      <c r="B32" t="inlineStr">
        <is>
          <t>Adjusted EBITDA</t>
        </is>
      </c>
      <c r="C32" t="inlineStr">
        <is>
          <t>Pro forma earnings</t>
        </is>
      </c>
      <c r="D32" t="inlineStr">
        <is>
          <t>Update target EBITDA</t>
        </is>
      </c>
      <c r="E32" s="25" t="n">
        <v>0</v>
      </c>
    </row>
    <row r="33">
      <c r="B33" t="inlineStr">
        <is>
          <t>Revenue synergies</t>
        </is>
      </c>
      <c r="C33" t="inlineStr">
        <is>
          <t>Combined revenue</t>
        </is>
      </c>
      <c r="D33" t="inlineStr">
        <is>
          <t>Adjust synergy estimates</t>
        </is>
      </c>
      <c r="E33" s="25" t="n">
        <v>0</v>
      </c>
    </row>
    <row r="34">
      <c r="B34" t="inlineStr">
        <is>
          <t>Cost structure</t>
        </is>
      </c>
      <c r="C34" t="inlineStr">
        <is>
          <t>Cost synergies</t>
        </is>
      </c>
      <c r="D34" t="inlineStr">
        <is>
          <t>Update cost savings</t>
        </is>
      </c>
      <c r="E34" s="25" t="n">
        <v>0</v>
      </c>
    </row>
    <row r="35">
      <c r="B35" t="inlineStr">
        <is>
          <t>Working capital</t>
        </is>
      </c>
      <c r="C35" t="inlineStr">
        <is>
          <t>Combined balance sheet</t>
        </is>
      </c>
      <c r="D35" t="inlineStr">
        <is>
          <t>Adjust NWC target</t>
        </is>
      </c>
      <c r="E35" s="25" t="n">
        <v>0</v>
      </c>
    </row>
  </sheetData>
  <mergeCells count="6">
    <mergeCell ref="B4:H4"/>
    <mergeCell ref="B6:H6"/>
    <mergeCell ref="B30:H30"/>
    <mergeCell ref="B16:H16"/>
    <mergeCell ref="B2:H2"/>
    <mergeCell ref="B23:H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41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  <col width="12" customWidth="1" min="4" max="4"/>
  </cols>
  <sheetData>
    <row r="2">
      <c r="B2" s="12" t="inlineStr">
        <is>
          <t>QUALITY OF EARNINGS - KEY FINDINGS &amp; RECOMMENDATIONS</t>
        </is>
      </c>
    </row>
    <row r="4">
      <c r="B4" s="24" t="inlineStr">
        <is>
          <t>EXECUTIVE SUMMARY</t>
        </is>
      </c>
    </row>
    <row r="5">
      <c r="B5" s="30" t="inlineStr">
        <is>
          <t>Overall Assessment: [HIGH / MEDIUM / LOW] Quality of Earnings</t>
        </is>
      </c>
    </row>
    <row r="6"/>
    <row r="7">
      <c r="B7" t="inlineStr">
        <is>
          <t>Key Takeaways:</t>
        </is>
      </c>
    </row>
    <row r="8">
      <c r="B8" t="inlineStr">
        <is>
          <t>• Adjusted EBITDA is $XX million higher/lower than reported</t>
        </is>
      </c>
    </row>
    <row r="9">
      <c r="B9" t="inlineStr">
        <is>
          <t>• Revenue quality is strong with diversified customer base</t>
        </is>
      </c>
    </row>
    <row r="10">
      <c r="B10" t="inlineStr">
        <is>
          <t>• Cash generation is consistent with reported earnings</t>
        </is>
      </c>
    </row>
    <row r="11">
      <c r="B11" t="inlineStr">
        <is>
          <t>• Working capital requirements are well-documented</t>
        </is>
      </c>
    </row>
    <row r="12"/>
    <row r="13">
      <c r="B13" s="30" t="inlineStr">
        <is>
          <t>Recommendation: [PROCEED / PROCEED WITH CAUTION / DO NOT PROCEED]</t>
        </is>
      </c>
    </row>
    <row r="16">
      <c r="B16" s="31" t="inlineStr">
        <is>
          <t>POSITIVE FINDINGS</t>
        </is>
      </c>
    </row>
    <row r="17">
      <c r="B17" t="inlineStr">
        <is>
          <t>✓ Strong historical revenue growth (X% CAGR)</t>
        </is>
      </c>
    </row>
    <row r="18">
      <c r="B18" t="inlineStr">
        <is>
          <t>✓ High quality recurring revenue (X% of total)</t>
        </is>
      </c>
    </row>
    <row r="19">
      <c r="B19" t="inlineStr">
        <is>
          <t>✓ Diversified customer base - no concentration issues</t>
        </is>
      </c>
    </row>
    <row r="20">
      <c r="B20" t="inlineStr">
        <is>
          <t>✓ Conservative revenue recognition practices</t>
        </is>
      </c>
    </row>
    <row r="21">
      <c r="B21" t="inlineStr">
        <is>
          <t>✓ Consistent EBITDA margins over time</t>
        </is>
      </c>
    </row>
    <row r="22">
      <c r="B22" t="inlineStr">
        <is>
          <t>✓ Strong cash flow conversion (X% FCF/EBITDA)</t>
        </is>
      </c>
    </row>
    <row r="23">
      <c r="B23" t="inlineStr">
        <is>
          <t>✓ Well-documented accounting practices</t>
        </is>
      </c>
    </row>
    <row r="26">
      <c r="B26" s="32" t="inlineStr">
        <is>
          <t>AREAS OF CONCERN / RED FLAGS</t>
        </is>
      </c>
    </row>
    <row r="27">
      <c r="B27" t="inlineStr">
        <is>
          <t>⚠ Customer concentration - Top 3 = X% of revenue</t>
        </is>
      </c>
    </row>
    <row r="28">
      <c r="B28" t="inlineStr">
        <is>
          <t>⚠ Working capital has increased significantly</t>
        </is>
      </c>
    </row>
    <row r="29">
      <c r="B29" t="inlineStr">
        <is>
          <t>⚠ Some revenue recognition timing issues</t>
        </is>
      </c>
    </row>
    <row r="30">
      <c r="B30" t="inlineStr">
        <is>
          <t>⚠ Deferred maintenance identified</t>
        </is>
      </c>
    </row>
    <row r="31">
      <c r="B31" t="inlineStr">
        <is>
          <t>⚠ Related party transactions require adjustment</t>
        </is>
      </c>
    </row>
    <row r="34">
      <c r="B34" s="24" t="inlineStr">
        <is>
          <t>RECOMMENDATIONS</t>
        </is>
      </c>
    </row>
    <row r="35">
      <c r="B35" s="11" t="inlineStr">
        <is>
          <t>Area</t>
        </is>
      </c>
      <c r="C35" s="11" t="inlineStr">
        <is>
          <t>Recommendation</t>
        </is>
      </c>
      <c r="D35" s="11" t="inlineStr">
        <is>
          <t>Priority</t>
        </is>
      </c>
    </row>
    <row r="36">
      <c r="B36" s="6" t="inlineStr">
        <is>
          <t>Valuation</t>
        </is>
      </c>
      <c r="C36" t="inlineStr">
        <is>
          <t>Use Adjusted EBITDA of $XX million for valuation</t>
        </is>
      </c>
      <c r="D36" s="32" t="inlineStr">
        <is>
          <t>High</t>
        </is>
      </c>
    </row>
    <row r="37">
      <c r="B37" s="6" t="inlineStr">
        <is>
          <t>Purchase Price</t>
        </is>
      </c>
      <c r="C37" t="inlineStr">
        <is>
          <t>Adjust offer price down by X% due to findings</t>
        </is>
      </c>
      <c r="D37" s="32" t="inlineStr">
        <is>
          <t>High</t>
        </is>
      </c>
    </row>
    <row r="38">
      <c r="B38" s="6" t="inlineStr">
        <is>
          <t>Deal Structure</t>
        </is>
      </c>
      <c r="C38" t="inlineStr">
        <is>
          <t>Include working capital peg mechanism</t>
        </is>
      </c>
      <c r="D38" s="32" t="inlineStr">
        <is>
          <t>High</t>
        </is>
      </c>
    </row>
    <row r="39">
      <c r="B39" s="6" t="inlineStr">
        <is>
          <t>Due Diligence</t>
        </is>
      </c>
      <c r="C39" t="inlineStr">
        <is>
          <t>Deep dive on top 3 customers</t>
        </is>
      </c>
      <c r="D39" s="33" t="inlineStr">
        <is>
          <t>Medium</t>
        </is>
      </c>
    </row>
    <row r="40">
      <c r="B40" s="6" t="inlineStr">
        <is>
          <t>Integration</t>
        </is>
      </c>
      <c r="C40" t="inlineStr">
        <is>
          <t>Budget $XX for deferred maintenance in Year 1</t>
        </is>
      </c>
      <c r="D40" s="33" t="inlineStr">
        <is>
          <t>Medium</t>
        </is>
      </c>
    </row>
    <row r="41">
      <c r="B41" s="6" t="inlineStr">
        <is>
          <t>Monitoring</t>
        </is>
      </c>
      <c r="C41" t="inlineStr">
        <is>
          <t>Track customer concentration post-close</t>
        </is>
      </c>
      <c r="D41" s="31" t="inlineStr">
        <is>
          <t>Low</t>
        </is>
      </c>
    </row>
  </sheetData>
  <mergeCells count="26">
    <mergeCell ref="B9:H9"/>
    <mergeCell ref="B6:H6"/>
    <mergeCell ref="B30:H30"/>
    <mergeCell ref="B5:H5"/>
    <mergeCell ref="B20:H20"/>
    <mergeCell ref="B26:H26"/>
    <mergeCell ref="B4:H4"/>
    <mergeCell ref="B16:H16"/>
    <mergeCell ref="B7:H7"/>
    <mergeCell ref="B31:H31"/>
    <mergeCell ref="B22:H22"/>
    <mergeCell ref="B18:H18"/>
    <mergeCell ref="B27:H27"/>
    <mergeCell ref="B21:H21"/>
    <mergeCell ref="B12:H12"/>
    <mergeCell ref="B2:H2"/>
    <mergeCell ref="B11:H11"/>
    <mergeCell ref="B23:H23"/>
    <mergeCell ref="B8:H8"/>
    <mergeCell ref="B17:H17"/>
    <mergeCell ref="B13:H13"/>
    <mergeCell ref="B29:H29"/>
    <mergeCell ref="B10:H10"/>
    <mergeCell ref="B19:H19"/>
    <mergeCell ref="B34:H34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2025-10-30T14:32:33Z</dcterms:created>
  <dcterms:modified xmlns:dcterms="http://purl.org/dc/terms/" xmlns:xsi="http://www.w3.org/2001/XMLSchema-instance" xsi:type="dcterms:W3CDTF">2025-10-30T14:36:34Z</dcterms:modified>
</cp:coreProperties>
</file>