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shboard" sheetId="1" state="visible" r:id="rId3"/>
    <sheet name="Cross-Model Validation" sheetId="2" state="visible" r:id="rId4"/>
    <sheet name="DD Tracker Integration" sheetId="3" state="visible" r:id="rId5"/>
    <sheet name="Scenario Analysis" sheetId="4" state="visible" r:id="rId6"/>
    <sheet name="Integration 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<sst xmlns="http://schemas.openxmlformats.org/spreadsheetml/2006/main" count="338" uniqueCount="245">
  <si>
    <t xml:space="preserve">INTEGRATED FINANCIAL MODELS DASHBOARD</t>
  </si>
  <si>
    <t xml:space="preserve">DEAL INFORMATION</t>
  </si>
  <si>
    <t xml:space="preserve">Target Company:</t>
  </si>
  <si>
    <t xml:space="preserve">Target Co.</t>
  </si>
  <si>
    <t xml:space="preserve">Deal Value ($mm):</t>
  </si>
  <si>
    <t xml:space="preserve">Transaction Type:</t>
  </si>
  <si>
    <t xml:space="preserve">Strategic Acquisition</t>
  </si>
  <si>
    <t xml:space="preserve">Analysis Date:</t>
  </si>
  <si>
    <t xml:space="preserve">2025-10-30</t>
  </si>
  <si>
    <t xml:space="preserve">KEY METRICS SUMMARY</t>
  </si>
  <si>
    <t xml:space="preserve">Metric</t>
  </si>
  <si>
    <t xml:space="preserve">DCF Model</t>
  </si>
  <si>
    <t xml:space="preserve">LBO Model</t>
  </si>
  <si>
    <t xml:space="preserve">Merger Model</t>
  </si>
  <si>
    <t xml:space="preserve">DD Status</t>
  </si>
  <si>
    <t xml:space="preserve">Variance</t>
  </si>
  <si>
    <t xml:space="preserve">Risk Flag</t>
  </si>
  <si>
    <t xml:space="preserve">Notes</t>
  </si>
  <si>
    <t xml:space="preserve">Enterprise Value ($mm)</t>
  </si>
  <si>
    <t xml:space="preserve">N/A</t>
  </si>
  <si>
    <t xml:space="preserve">In Progress</t>
  </si>
  <si>
    <t xml:space="preserve">0%</t>
  </si>
  <si>
    <t xml:space="preserve">Green</t>
  </si>
  <si>
    <t xml:space="preserve">Pending DD completion</t>
  </si>
  <si>
    <t xml:space="preserve">Equity Value ($mm)</t>
  </si>
  <si>
    <t xml:space="preserve">Net Debt = $250mm</t>
  </si>
  <si>
    <t xml:space="preserve">IRR (%)</t>
  </si>
  <si>
    <t xml:space="preserve">23%</t>
  </si>
  <si>
    <t xml:space="preserve">Meets 20% hurdle</t>
  </si>
  <si>
    <t xml:space="preserve">MOIC (x)</t>
  </si>
  <si>
    <t xml:space="preserve">2.8x</t>
  </si>
  <si>
    <t xml:space="preserve">5-year hold</t>
  </si>
  <si>
    <t xml:space="preserve">EPS Accretion (%)</t>
  </si>
  <si>
    <t xml:space="preserve">5.0%</t>
  </si>
  <si>
    <t xml:space="preserve">Year 1 accretion</t>
  </si>
  <si>
    <t xml:space="preserve">WACC (%)</t>
  </si>
  <si>
    <t xml:space="preserve">9.5%</t>
  </si>
  <si>
    <t xml:space="preserve">Validated</t>
  </si>
  <si>
    <t xml:space="preserve">Consistent assumption</t>
  </si>
  <si>
    <t xml:space="preserve">Revenue Growth (%)</t>
  </si>
  <si>
    <t xml:space="preserve">8.0%</t>
  </si>
  <si>
    <t xml:space="preserve">Under Review</t>
  </si>
  <si>
    <t xml:space="preserve">Yellow</t>
  </si>
  <si>
    <t xml:space="preserve">Customer concentration risk</t>
  </si>
  <si>
    <t xml:space="preserve">EBITDA Margin (%)</t>
  </si>
  <si>
    <t xml:space="preserve">22.0%</t>
  </si>
  <si>
    <t xml:space="preserve">20.0%</t>
  </si>
  <si>
    <t xml:space="preserve">-9%</t>
  </si>
  <si>
    <t xml:space="preserve">QoE in progress</t>
  </si>
  <si>
    <t xml:space="preserve">DD Completion (%)</t>
  </si>
  <si>
    <t xml:space="preserve">65%</t>
  </si>
  <si>
    <t xml:space="preserve">92/140 items complete</t>
  </si>
  <si>
    <t xml:space="preserve">Critical Issues</t>
  </si>
  <si>
    <t xml:space="preserve">3</t>
  </si>
  <si>
    <t xml:space="preserve">Red</t>
  </si>
  <si>
    <t xml:space="preserve">Customer concentration, IT systems, contracts</t>
  </si>
  <si>
    <t xml:space="preserve">DUE DILIGENCE INTEGRATION</t>
  </si>
  <si>
    <t xml:space="preserve">DD Area</t>
  </si>
  <si>
    <t xml:space="preserve">Status</t>
  </si>
  <si>
    <t xml:space="preserve">Risk Level</t>
  </si>
  <si>
    <t xml:space="preserve">Impact on DCF</t>
  </si>
  <si>
    <t xml:space="preserve">Impact on LBO</t>
  </si>
  <si>
    <t xml:space="preserve">Impact on Merger</t>
  </si>
  <si>
    <t xml:space="preserve">Action Required</t>
  </si>
  <si>
    <t xml:space="preserve">Financial</t>
  </si>
  <si>
    <t xml:space="preserve">Complete</t>
  </si>
  <si>
    <t xml:space="preserve">Low</t>
  </si>
  <si>
    <t xml:space="preserve">No adjustment</t>
  </si>
  <si>
    <t xml:space="preserve">None</t>
  </si>
  <si>
    <t xml:space="preserve">Commercial</t>
  </si>
  <si>
    <t xml:space="preserve">Medium</t>
  </si>
  <si>
    <t xml:space="preserve">Lower revenue growth by 2%</t>
  </si>
  <si>
    <t xml:space="preserve">Lower growth by 2%</t>
  </si>
  <si>
    <t xml:space="preserve">Complete customer interviews</t>
  </si>
  <si>
    <t xml:space="preserve">Legal</t>
  </si>
  <si>
    <t xml:space="preserve">Add $5mm to purchase price</t>
  </si>
  <si>
    <t xml:space="preserve">Review contracts</t>
  </si>
  <si>
    <t xml:space="preserve">IT</t>
  </si>
  <si>
    <t xml:space="preserve">Not Started</t>
  </si>
  <si>
    <t xml:space="preserve">High</t>
  </si>
  <si>
    <t xml:space="preserve">TBD</t>
  </si>
  <si>
    <t xml:space="preserve">+$10mm integration CapEx</t>
  </si>
  <si>
    <t xml:space="preserve">+$15mm IT integration</t>
  </si>
  <si>
    <t xml:space="preserve">Begin IT assessment</t>
  </si>
  <si>
    <t xml:space="preserve">HR</t>
  </si>
  <si>
    <t xml:space="preserve">Validated salary data</t>
  </si>
  <si>
    <t xml:space="preserve">Add $3mm retention bonuses</t>
  </si>
  <si>
    <t xml:space="preserve">CROSS-MODEL VALIDATION &amp; CONSISTENCY CHECKS</t>
  </si>
  <si>
    <t xml:space="preserve">ASSUMPTION CONSISTENCY</t>
  </si>
  <si>
    <t xml:space="preserve">Assumption</t>
  </si>
  <si>
    <t xml:space="preserve">Revenue 2025 ($mm)</t>
  </si>
  <si>
    <t xml:space="preserve">Revenue Growth Rate</t>
  </si>
  <si>
    <t xml:space="preserve">EBITDA Margin</t>
  </si>
  <si>
    <t xml:space="preserve">Tax Rate</t>
  </si>
  <si>
    <t xml:space="preserve">25.0%</t>
  </si>
  <si>
    <t xml:space="preserve">WACC / Discount Rate</t>
  </si>
  <si>
    <t xml:space="preserve">Net Debt ($mm)</t>
  </si>
  <si>
    <t xml:space="preserve">Share Count (mm)</t>
  </si>
  <si>
    <t xml:space="preserve">VALUE RECONCILIATION</t>
  </si>
  <si>
    <t xml:space="preserve">DCF Implied</t>
  </si>
  <si>
    <t xml:space="preserve">Transaction Price</t>
  </si>
  <si>
    <t xml:space="preserve">Premium / (Discount)</t>
  </si>
  <si>
    <t xml:space="preserve">Premium %</t>
  </si>
  <si>
    <t xml:space="preserve">Assessment</t>
  </si>
  <si>
    <t xml:space="preserve">DUE DILIGENCE FINDINGS → MODEL ADJUSTMENTS</t>
  </si>
  <si>
    <t xml:space="preserve">This sheet tracks how DD findings flow into valuation model adjustments</t>
  </si>
  <si>
    <t xml:space="preserve">DD FINDINGS LOG</t>
  </si>
  <si>
    <t xml:space="preserve">Finding ID</t>
  </si>
  <si>
    <t xml:space="preserve">Issue Description</t>
  </si>
  <si>
    <t xml:space="preserve">Value Impact ($mm)</t>
  </si>
  <si>
    <t xml:space="preserve">DCF Adjustment</t>
  </si>
  <si>
    <t xml:space="preserve">LBO Adjustment</t>
  </si>
  <si>
    <t xml:space="preserve">Merger Adjustment</t>
  </si>
  <si>
    <t xml:space="preserve">DD-001</t>
  </si>
  <si>
    <t xml:space="preserve">Top 3 customers = 60% revenue</t>
  </si>
  <si>
    <t xml:space="preserve">Reduce growth 2% (8%→6%)</t>
  </si>
  <si>
    <t xml:space="preserve">Reduce growth 2%</t>
  </si>
  <si>
    <t xml:space="preserve">Implemented</t>
  </si>
  <si>
    <t xml:space="preserve">DD-002</t>
  </si>
  <si>
    <t xml:space="preserve">QoE identified $2mm add-backs</t>
  </si>
  <si>
    <t xml:space="preserve">Increase normalized EBITDA</t>
  </si>
  <si>
    <t xml:space="preserve">Increase EBITDA</t>
  </si>
  <si>
    <t xml:space="preserve">DD-003</t>
  </si>
  <si>
    <t xml:space="preserve">Change of control provisions</t>
  </si>
  <si>
    <t xml:space="preserve">No DCF impact</t>
  </si>
  <si>
    <t xml:space="preserve">No impact</t>
  </si>
  <si>
    <t xml:space="preserve">Add $5mm to price</t>
  </si>
  <si>
    <t xml:space="preserve">DD-004</t>
  </si>
  <si>
    <t xml:space="preserve">Operational</t>
  </si>
  <si>
    <t xml:space="preserve">Deferred maintenance identified</t>
  </si>
  <si>
    <t xml:space="preserve">Add $20mm one-time CapEx</t>
  </si>
  <si>
    <t xml:space="preserve">Add to Sources &amp; Uses</t>
  </si>
  <si>
    <t xml:space="preserve">Add to integration costs</t>
  </si>
  <si>
    <t xml:space="preserve">Pending</t>
  </si>
  <si>
    <t xml:space="preserve">DD-005</t>
  </si>
  <si>
    <t xml:space="preserve">Legacy systems require upgrade</t>
  </si>
  <si>
    <t xml:space="preserve">TBD pending assessment</t>
  </si>
  <si>
    <t xml:space="preserve">Add $10mm CapEx</t>
  </si>
  <si>
    <t xml:space="preserve">Add $15mm integration</t>
  </si>
  <si>
    <t xml:space="preserve">CUMULATIVE IMPACT SUMMARY</t>
  </si>
  <si>
    <t xml:space="preserve">Total Value Impact:</t>
  </si>
  <si>
    <t xml:space="preserve">High Risk Items:</t>
  </si>
  <si>
    <t xml:space="preserve">Items Pending:</t>
  </si>
  <si>
    <t xml:space="preserve">INTEGRATED SCENARIO ANALYSIS</t>
  </si>
  <si>
    <t xml:space="preserve">SCENARIO COMPARISON</t>
  </si>
  <si>
    <t xml:space="preserve">Base Case</t>
  </si>
  <si>
    <t xml:space="preserve">Bear Case</t>
  </si>
  <si>
    <t xml:space="preserve">Bull Case</t>
  </si>
  <si>
    <t xml:space="preserve">Management Case</t>
  </si>
  <si>
    <t xml:space="preserve">DD Adjusted</t>
  </si>
  <si>
    <t xml:space="preserve">DCF Enterprise Value ($mm)</t>
  </si>
  <si>
    <t xml:space="preserve">LBO IRR (%)</t>
  </si>
  <si>
    <t xml:space="preserve">LBO MOIC (x)</t>
  </si>
  <si>
    <t xml:space="preserve">Merger EPS Accretion (%)</t>
  </si>
  <si>
    <t xml:space="preserve">Exit Multiple (x)</t>
  </si>
  <si>
    <t xml:space="preserve">DD Risk Score (1-10)</t>
  </si>
  <si>
    <t xml:space="preserve">SENSITIVITY ANALYSIS</t>
  </si>
  <si>
    <t xml:space="preserve">If Revenue Growth changes by 1%:</t>
  </si>
  <si>
    <t xml:space="preserve">  • DCF value changes by:</t>
  </si>
  <si>
    <t xml:space="preserve">±$75mm</t>
  </si>
  <si>
    <t xml:space="preserve">  • LBO IRR changes by:</t>
  </si>
  <si>
    <t xml:space="preserve">±2.0%</t>
  </si>
  <si>
    <t xml:space="preserve">  • Merger accretion changes by:</t>
  </si>
  <si>
    <t xml:space="preserve">±0.5%</t>
  </si>
  <si>
    <t xml:space="preserve">HOW TO USE THIS INTEGRATED WORKBOOK</t>
  </si>
  <si>
    <t xml:space="preserve">1. File Organization</t>
  </si>
  <si>
    <t xml:space="preserve">   • Keep all four model files in the same folder:</t>
  </si>
  <si>
    <t xml:space="preserve">     - DCF_Model_Comprehensive.xlsx</t>
  </si>
  <si>
    <t xml:space="preserve">     - LBO_Model_Comprehensive.xlsx</t>
  </si>
  <si>
    <t xml:space="preserve">     - Merger_Model_Comprehensive.xlsx</t>
  </si>
  <si>
    <t xml:space="preserve">     - DD_Tracker_Comprehensive.xlsx</t>
  </si>
  <si>
    <t xml:space="preserve">     - Integrated_Models_Dashboard.xlsx (this file)</t>
  </si>
  <si>
    <t xml:space="preserve">2. Linking Process</t>
  </si>
  <si>
    <t xml:space="preserve">   • Open all five files simultaneously</t>
  </si>
  <si>
    <t xml:space="preserve">   • Update cell references to link to external models</t>
  </si>
  <si>
    <t xml:space="preserve">   • Use format: =[Filename.xlsx]Sheet!Cell</t>
  </si>
  <si>
    <t xml:space="preserve">   • Example: =[DCF_Model_Comprehensive.xlsx]Valuation!B10</t>
  </si>
  <si>
    <t xml:space="preserve">3. Data Flow</t>
  </si>
  <si>
    <t xml:space="preserve">   DD Tracker → Identify findings and risks</t>
  </si>
  <si>
    <t xml:space="preserve">   ↓</t>
  </si>
  <si>
    <t xml:space="preserve">   DD Tracker Integration sheet → Log adjustments</t>
  </si>
  <si>
    <t xml:space="preserve">   Update assumptions in DCF/LBO/Merger models</t>
  </si>
  <si>
    <t xml:space="preserve">   Master Dashboard → View consolidated results</t>
  </si>
  <si>
    <t xml:space="preserve">4. Key Integration Points</t>
  </si>
  <si>
    <t xml:space="preserve">   DCF Model Links:</t>
  </si>
  <si>
    <t xml:space="preserve">   • Enterprise Value → Dashboard B11</t>
  </si>
  <si>
    <t xml:space="preserve">   • WACC → Validation B9</t>
  </si>
  <si>
    <t xml:space="preserve">   • Terminal Value → Cross-check with exit multiples</t>
  </si>
  <si>
    <t xml:space="preserve">   LBO Model Links:</t>
  </si>
  <si>
    <t xml:space="preserve">   • IRR → Dashboard B13</t>
  </si>
  <si>
    <t xml:space="preserve">   • MOIC → Dashboard B14</t>
  </si>
  <si>
    <t xml:space="preserve">   • Debt capacity → Compare with Merger model</t>
  </si>
  <si>
    <t xml:space="preserve">   Merger Model Links:</t>
  </si>
  <si>
    <t xml:space="preserve">   • EPS Accretion → Dashboard B15</t>
  </si>
  <si>
    <t xml:space="preserve">   • Synergies → Validate against DD findings</t>
  </si>
  <si>
    <t xml:space="preserve">   • Integration costs → Update from DD</t>
  </si>
  <si>
    <t xml:space="preserve">   DD Tracker Links:</t>
  </si>
  <si>
    <t xml:space="preserve">   • Completion % → Dashboard B19</t>
  </si>
  <si>
    <t xml:space="preserve">   • Critical issues → Dashboard B20</t>
  </si>
  <si>
    <t xml:space="preserve">   • Risk assessments → Scenario analysis</t>
  </si>
  <si>
    <t xml:space="preserve">5. Workflow</t>
  </si>
  <si>
    <t xml:space="preserve">   a) Enter deal parameters in each model</t>
  </si>
  <si>
    <t xml:space="preserve">   b) Run initial valuations (Base Case)</t>
  </si>
  <si>
    <t xml:space="preserve">   c) Conduct due diligence, log findings in DD Tracker</t>
  </si>
  <si>
    <t xml:space="preserve">   d) Update DD Tracker Integration sheet with impacts</t>
  </si>
  <si>
    <t xml:space="preserve">   e) Adjust model assumptions based on DD findings</t>
  </si>
  <si>
    <t xml:space="preserve">   f) Review Cross-Model Validation for consistency</t>
  </si>
  <si>
    <t xml:space="preserve">   g) Run scenario analysis (Bear/Bull/DD Adjusted)</t>
  </si>
  <si>
    <t xml:space="preserve">   h) Review Master Dashboard for final metrics</t>
  </si>
  <si>
    <t xml:space="preserve">   i) Prepare Investment Committee materials</t>
  </si>
  <si>
    <t xml:space="preserve">6. Validation Checklist</t>
  </si>
  <si>
    <t xml:space="preserve">   □ All assumptions consistent across models</t>
  </si>
  <si>
    <t xml:space="preserve">   □ DCF value vs transaction price reconciled</t>
  </si>
  <si>
    <t xml:space="preserve">   □ LBO IRR meets hurdle rate (typically 20%+)</t>
  </si>
  <si>
    <t xml:space="preserve">   □ Merger model shows acceptable accretion</t>
  </si>
  <si>
    <t xml:space="preserve">   □ DD critical items addressed</t>
  </si>
  <si>
    <t xml:space="preserve">   □ All formula errors resolved (REF, DIV/0, VALUE, N/A errors)</t>
  </si>
  <si>
    <t xml:space="preserve">   □ Sensitivity analysis complete</t>
  </si>
  <si>
    <t xml:space="preserve">   □ Risk flags reviewed and documented</t>
  </si>
  <si>
    <t xml:space="preserve">7. Color Coding Reference</t>
  </si>
  <si>
    <t xml:space="preserve">   Blue text = Inputs (change for scenarios)</t>
  </si>
  <si>
    <t xml:space="preserve">   Black text = Formulas (calculated)</t>
  </si>
  <si>
    <t xml:space="preserve">   Green text = Links to other sheets/files</t>
  </si>
  <si>
    <t xml:space="preserve">   Yellow background = Items needing attention</t>
  </si>
  <si>
    <t xml:space="preserve">   Green background = Low risk / Pass</t>
  </si>
  <si>
    <t xml:space="preserve">   Yellow background = Medium risk / Review</t>
  </si>
  <si>
    <t xml:space="preserve">   Red background = High risk / Action required</t>
  </si>
  <si>
    <t xml:space="preserve">8. Best Practices</t>
  </si>
  <si>
    <t xml:space="preserve">   • Update all models with consistent data</t>
  </si>
  <si>
    <t xml:space="preserve">   • Document all DD-driven adjustments</t>
  </si>
  <si>
    <t xml:space="preserve">   • Run sensitivity analysis on key assumptions</t>
  </si>
  <si>
    <t xml:space="preserve">   • Cross-check values across all three models</t>
  </si>
  <si>
    <t xml:space="preserve">   • Review validation sheet before finalizing</t>
  </si>
  <si>
    <t xml:space="preserve">   • Save versions with date stamps</t>
  </si>
  <si>
    <t xml:space="preserve">   • Keep audit trail of assumption changes</t>
  </si>
  <si>
    <t xml:space="preserve">   • If values don't update: Press Ctrl+Alt+F9 to recalculate</t>
  </si>
  <si>
    <t xml:space="preserve">   • If REF errors appear: Check file links are correct</t>
  </si>
  <si>
    <t xml:space="preserve">   • If inconsistencies: Review Validation sheet</t>
  </si>
  <si>
    <t xml:space="preserve">   • If confused: Refer to individual model user guides</t>
  </si>
  <si>
    <t xml:space="preserve">10. Support Documentation</t>
  </si>
  <si>
    <t xml:space="preserve">    • DCF_MODEL_GUIDE.md</t>
  </si>
  <si>
    <t xml:space="preserve">    • LBO_MODEL_GUIDE.md</t>
  </si>
  <si>
    <t xml:space="preserve">    • MERGER_MODEL_USER_GUIDE.md</t>
  </si>
  <si>
    <t xml:space="preserve">    • DD_TRACKER_USER_GUIDE.md</t>
  </si>
  <si>
    <t xml:space="preserve">    • MODEL_INTEGRATION_GUIDE.md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</si>
</sst>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;\-"/>
    <numFmt numFmtId="167" formatCode="0.0%"/>
    <numFmt numFmtId="168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B4C7E7"/>
        <bgColor rgb="FF99CCFF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6" min="2" style="1" width="15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1" t="s">
        <v>2</v>
      </c>
      <c r="B4" s="4" t="s">
        <v>3</v>
      </c>
    </row>
    <row r="5" customFormat="false" ht="15" hidden="false" customHeight="true" outlineLevel="0" collapsed="false">
      <c r="A5" s="1" t="s">
        <v>4</v>
      </c>
      <c r="B5" s="5" t="n">
        <v>1500</v>
      </c>
    </row>
    <row r="6" customFormat="false" ht="15" hidden="false" customHeight="true" outlineLevel="0" collapsed="false">
      <c r="A6" s="1" t="s">
        <v>5</v>
      </c>
      <c r="B6" s="4" t="s">
        <v>6</v>
      </c>
    </row>
    <row r="7" customFormat="false" ht="15" hidden="false" customHeight="true" outlineLevel="0" collapsed="false">
      <c r="A7" s="1" t="s">
        <v>7</v>
      </c>
      <c r="B7" s="4" t="s">
        <v>8</v>
      </c>
    </row>
    <row r="9" customFormat="false" ht="15" hidden="false" customHeight="true" outlineLevel="0" collapsed="false">
      <c r="A9" s="3" t="s">
        <v>9</v>
      </c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</row>
    <row r="11" customFormat="false" ht="15" hidden="false" customHeight="true" outlineLevel="0" collapsed="false">
      <c r="A11" s="7" t="s">
        <v>18</v>
      </c>
      <c r="B11" s="8" t="n">
        <v>1500</v>
      </c>
      <c r="C11" s="9" t="s">
        <v>19</v>
      </c>
      <c r="D11" s="8" t="n">
        <v>1500</v>
      </c>
      <c r="E11" s="1" t="s">
        <v>20</v>
      </c>
      <c r="F11" s="1" t="s">
        <v>21</v>
      </c>
      <c r="G11" s="10" t="s">
        <v>22</v>
      </c>
      <c r="H11" s="1" t="s">
        <v>23</v>
      </c>
    </row>
    <row r="12" customFormat="false" ht="15" hidden="false" customHeight="true" outlineLevel="0" collapsed="false">
      <c r="A12" s="7" t="s">
        <v>24</v>
      </c>
      <c r="B12" s="8" t="n">
        <v>1250</v>
      </c>
      <c r="C12" s="9" t="s">
        <v>19</v>
      </c>
      <c r="D12" s="8" t="n">
        <v>1250</v>
      </c>
      <c r="E12" s="1" t="s">
        <v>20</v>
      </c>
      <c r="F12" s="1" t="s">
        <v>21</v>
      </c>
      <c r="G12" s="10" t="s">
        <v>22</v>
      </c>
      <c r="H12" s="1" t="s">
        <v>25</v>
      </c>
    </row>
    <row r="13" customFormat="false" ht="15" hidden="false" customHeight="true" outlineLevel="0" collapsed="false">
      <c r="A13" s="7" t="s">
        <v>26</v>
      </c>
      <c r="B13" s="9" t="s">
        <v>19</v>
      </c>
      <c r="C13" s="9" t="s">
        <v>27</v>
      </c>
      <c r="D13" s="9" t="s">
        <v>19</v>
      </c>
      <c r="E13" s="1" t="s">
        <v>19</v>
      </c>
      <c r="F13" s="1" t="s">
        <v>19</v>
      </c>
      <c r="G13" s="10" t="s">
        <v>22</v>
      </c>
      <c r="H13" s="1" t="s">
        <v>28</v>
      </c>
    </row>
    <row r="14" customFormat="false" ht="15" hidden="false" customHeight="true" outlineLevel="0" collapsed="false">
      <c r="A14" s="7" t="s">
        <v>29</v>
      </c>
      <c r="B14" s="9" t="s">
        <v>19</v>
      </c>
      <c r="C14" s="9" t="s">
        <v>30</v>
      </c>
      <c r="D14" s="9" t="s">
        <v>19</v>
      </c>
      <c r="E14" s="1" t="s">
        <v>19</v>
      </c>
      <c r="F14" s="1" t="s">
        <v>19</v>
      </c>
      <c r="G14" s="10" t="s">
        <v>22</v>
      </c>
      <c r="H14" s="1" t="s">
        <v>31</v>
      </c>
    </row>
    <row r="15" customFormat="false" ht="15" hidden="false" customHeight="true" outlineLevel="0" collapsed="false">
      <c r="A15" s="7" t="s">
        <v>32</v>
      </c>
      <c r="B15" s="9" t="s">
        <v>19</v>
      </c>
      <c r="C15" s="9" t="s">
        <v>19</v>
      </c>
      <c r="D15" s="9" t="s">
        <v>33</v>
      </c>
      <c r="E15" s="1" t="s">
        <v>19</v>
      </c>
      <c r="F15" s="1" t="s">
        <v>19</v>
      </c>
      <c r="G15" s="10" t="s">
        <v>22</v>
      </c>
      <c r="H15" s="1" t="s">
        <v>34</v>
      </c>
    </row>
    <row r="16" customFormat="false" ht="15" hidden="false" customHeight="true" outlineLevel="0" collapsed="false">
      <c r="A16" s="7" t="s">
        <v>35</v>
      </c>
      <c r="B16" s="9" t="s">
        <v>36</v>
      </c>
      <c r="C16" s="9" t="s">
        <v>36</v>
      </c>
      <c r="D16" s="9" t="s">
        <v>36</v>
      </c>
      <c r="E16" s="1" t="s">
        <v>37</v>
      </c>
      <c r="F16" s="1" t="s">
        <v>21</v>
      </c>
      <c r="G16" s="10" t="s">
        <v>22</v>
      </c>
      <c r="H16" s="1" t="s">
        <v>38</v>
      </c>
    </row>
    <row r="17" customFormat="false" ht="15" hidden="false" customHeight="true" outlineLevel="0" collapsed="false">
      <c r="A17" s="7" t="s">
        <v>39</v>
      </c>
      <c r="B17" s="9" t="s">
        <v>40</v>
      </c>
      <c r="C17" s="9" t="s">
        <v>40</v>
      </c>
      <c r="D17" s="9" t="s">
        <v>40</v>
      </c>
      <c r="E17" s="1" t="s">
        <v>41</v>
      </c>
      <c r="F17" s="1" t="s">
        <v>21</v>
      </c>
      <c r="G17" s="11" t="s">
        <v>42</v>
      </c>
      <c r="H17" s="1" t="s">
        <v>43</v>
      </c>
    </row>
    <row r="18" customFormat="false" ht="15" hidden="false" customHeight="true" outlineLevel="0" collapsed="false">
      <c r="A18" s="7" t="s">
        <v>44</v>
      </c>
      <c r="B18" s="9" t="s">
        <v>45</v>
      </c>
      <c r="C18" s="9" t="s">
        <v>45</v>
      </c>
      <c r="D18" s="9" t="s">
        <v>46</v>
      </c>
      <c r="E18" s="1" t="s">
        <v>41</v>
      </c>
      <c r="F18" s="1" t="s">
        <v>47</v>
      </c>
      <c r="G18" s="11" t="s">
        <v>42</v>
      </c>
      <c r="H18" s="1" t="s">
        <v>48</v>
      </c>
    </row>
    <row r="19" customFormat="false" ht="15" hidden="false" customHeight="true" outlineLevel="0" collapsed="false">
      <c r="A19" s="7" t="s">
        <v>49</v>
      </c>
      <c r="B19" s="9" t="s">
        <v>19</v>
      </c>
      <c r="C19" s="9" t="s">
        <v>19</v>
      </c>
      <c r="D19" s="9" t="s">
        <v>19</v>
      </c>
      <c r="E19" s="1" t="s">
        <v>50</v>
      </c>
      <c r="F19" s="1" t="s">
        <v>19</v>
      </c>
      <c r="G19" s="11" t="s">
        <v>42</v>
      </c>
      <c r="H19" s="1" t="s">
        <v>51</v>
      </c>
    </row>
    <row r="20" customFormat="false" ht="15" hidden="false" customHeight="true" outlineLevel="0" collapsed="false">
      <c r="A20" s="7" t="s">
        <v>52</v>
      </c>
      <c r="B20" s="9" t="s">
        <v>19</v>
      </c>
      <c r="C20" s="9" t="s">
        <v>19</v>
      </c>
      <c r="D20" s="9" t="s">
        <v>19</v>
      </c>
      <c r="E20" s="1" t="s">
        <v>53</v>
      </c>
      <c r="F20" s="1" t="s">
        <v>19</v>
      </c>
      <c r="G20" s="12" t="s">
        <v>54</v>
      </c>
      <c r="H20" s="1" t="s">
        <v>55</v>
      </c>
    </row>
    <row r="22" customFormat="false" ht="15" hidden="false" customHeight="true" outlineLevel="0" collapsed="false">
      <c r="A22" s="3" t="s">
        <v>56</v>
      </c>
      <c r="B22" s="3"/>
      <c r="C22" s="3"/>
      <c r="D22" s="3"/>
      <c r="E22" s="3"/>
      <c r="F22" s="3"/>
      <c r="G22" s="3"/>
      <c r="H22" s="3"/>
    </row>
    <row r="23" customFormat="false" ht="15" hidden="false" customHeight="true" outlineLevel="0" collapsed="false">
      <c r="A23" s="6" t="s">
        <v>57</v>
      </c>
      <c r="B23" s="6" t="s">
        <v>58</v>
      </c>
      <c r="C23" s="6" t="s">
        <v>59</v>
      </c>
      <c r="D23" s="6" t="s">
        <v>60</v>
      </c>
      <c r="E23" s="6" t="s">
        <v>61</v>
      </c>
      <c r="F23" s="6" t="s">
        <v>62</v>
      </c>
      <c r="G23" s="6" t="s">
        <v>63</v>
      </c>
    </row>
    <row r="24" customFormat="false" ht="15" hidden="false" customHeight="true" outlineLevel="0" collapsed="false">
      <c r="A24" s="1" t="s">
        <v>64</v>
      </c>
      <c r="B24" s="1" t="s">
        <v>65</v>
      </c>
      <c r="C24" s="10" t="s">
        <v>66</v>
      </c>
      <c r="D24" s="1" t="s">
        <v>67</v>
      </c>
      <c r="E24" s="1" t="s">
        <v>67</v>
      </c>
      <c r="F24" s="1" t="s">
        <v>67</v>
      </c>
      <c r="G24" s="1" t="s">
        <v>68</v>
      </c>
    </row>
    <row r="25" customFormat="false" ht="15" hidden="false" customHeight="true" outlineLevel="0" collapsed="false">
      <c r="A25" s="1" t="s">
        <v>69</v>
      </c>
      <c r="B25" s="1" t="s">
        <v>20</v>
      </c>
      <c r="C25" s="11" t="s">
        <v>70</v>
      </c>
      <c r="D25" s="1" t="s">
        <v>71</v>
      </c>
      <c r="E25" s="1" t="s">
        <v>72</v>
      </c>
      <c r="F25" s="1" t="s">
        <v>72</v>
      </c>
      <c r="G25" s="1" t="s">
        <v>73</v>
      </c>
    </row>
    <row r="26" customFormat="false" ht="15" hidden="false" customHeight="true" outlineLevel="0" collapsed="false">
      <c r="A26" s="1" t="s">
        <v>74</v>
      </c>
      <c r="B26" s="1" t="s">
        <v>20</v>
      </c>
      <c r="C26" s="10" t="s">
        <v>66</v>
      </c>
      <c r="D26" s="1" t="s">
        <v>67</v>
      </c>
      <c r="E26" s="1" t="s">
        <v>67</v>
      </c>
      <c r="F26" s="1" t="s">
        <v>75</v>
      </c>
      <c r="G26" s="1" t="s">
        <v>76</v>
      </c>
    </row>
    <row r="27" customFormat="false" ht="15" hidden="false" customHeight="true" outlineLevel="0" collapsed="false">
      <c r="A27" s="1" t="s">
        <v>77</v>
      </c>
      <c r="B27" s="1" t="s">
        <v>78</v>
      </c>
      <c r="C27" s="12" t="s">
        <v>79</v>
      </c>
      <c r="D27" s="1" t="s">
        <v>80</v>
      </c>
      <c r="E27" s="1" t="s">
        <v>81</v>
      </c>
      <c r="F27" s="1" t="s">
        <v>82</v>
      </c>
      <c r="G27" s="1" t="s">
        <v>83</v>
      </c>
    </row>
    <row r="28" customFormat="false" ht="15" hidden="false" customHeight="true" outlineLevel="0" collapsed="false">
      <c r="A28" s="1" t="s">
        <v>84</v>
      </c>
      <c r="B28" s="1" t="s">
        <v>65</v>
      </c>
      <c r="C28" s="10" t="s">
        <v>66</v>
      </c>
      <c r="D28" s="1" t="s">
        <v>85</v>
      </c>
      <c r="E28" s="1" t="s">
        <v>85</v>
      </c>
      <c r="F28" s="1" t="s">
        <v>86</v>
      </c>
      <c r="G28" s="1" t="s">
        <v>68</v>
      </c>
    </row>
  </sheetData>
  <mergeCells count="4">
    <mergeCell ref="A1:H1"/>
    <mergeCell ref="A3:D3"/>
    <mergeCell ref="A9:H9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0"/>
  </cols>
  <sheetData>
    <row r="1" customFormat="false" ht="30" hidden="false" customHeight="true" outlineLevel="0" collapsed="false">
      <c r="A1" s="2" t="s">
        <v>87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88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13" t="s">
        <v>89</v>
      </c>
      <c r="B4" s="13" t="s">
        <v>11</v>
      </c>
      <c r="C4" s="13" t="s">
        <v>12</v>
      </c>
      <c r="D4" s="13" t="s">
        <v>13</v>
      </c>
      <c r="E4" s="13" t="s">
        <v>15</v>
      </c>
      <c r="F4" s="13" t="s">
        <v>58</v>
      </c>
    </row>
    <row r="5" customFormat="false" ht="15" hidden="false" customHeight="true" outlineLevel="0" collapsed="false">
      <c r="A5" s="1" t="s">
        <v>90</v>
      </c>
      <c r="B5" s="9" t="n">
        <v>500</v>
      </c>
      <c r="C5" s="9" t="n">
        <v>500</v>
      </c>
      <c r="D5" s="9" t="n">
        <v>500</v>
      </c>
      <c r="E5" s="14" t="str">
        <f aca="false">IF(B5=C5,"✓","✗")</f>
        <v>✓</v>
      </c>
      <c r="F5" s="14" t="str">
        <f aca="false">IF(D5="✓","Pass","FAIL")</f>
        <v>FAIL</v>
      </c>
    </row>
    <row r="6" customFormat="false" ht="15" hidden="false" customHeight="true" outlineLevel="0" collapsed="false">
      <c r="A6" s="1" t="s">
        <v>91</v>
      </c>
      <c r="B6" s="9" t="s">
        <v>40</v>
      </c>
      <c r="C6" s="9" t="s">
        <v>40</v>
      </c>
      <c r="D6" s="9" t="s">
        <v>40</v>
      </c>
      <c r="E6" s="14" t="str">
        <f aca="false">IF(B6=C6,"✓","✗")</f>
        <v>✓</v>
      </c>
      <c r="F6" s="14" t="str">
        <f aca="false">IF(D6="✓","Pass","FAIL")</f>
        <v>FAIL</v>
      </c>
    </row>
    <row r="7" customFormat="false" ht="15" hidden="false" customHeight="true" outlineLevel="0" collapsed="false">
      <c r="A7" s="1" t="s">
        <v>92</v>
      </c>
      <c r="B7" s="9" t="s">
        <v>45</v>
      </c>
      <c r="C7" s="9" t="s">
        <v>45</v>
      </c>
      <c r="D7" s="9" t="s">
        <v>46</v>
      </c>
      <c r="E7" s="14" t="str">
        <f aca="false">IF(B7=C7,"✓","✗")</f>
        <v>✓</v>
      </c>
      <c r="F7" s="14" t="str">
        <f aca="false">IF(D7="✓","Pass","REVIEW")</f>
        <v>REVIEW</v>
      </c>
    </row>
    <row r="8" customFormat="false" ht="15" hidden="false" customHeight="true" outlineLevel="0" collapsed="false">
      <c r="A8" s="1" t="s">
        <v>93</v>
      </c>
      <c r="B8" s="9" t="s">
        <v>94</v>
      </c>
      <c r="C8" s="9" t="s">
        <v>94</v>
      </c>
      <c r="D8" s="9" t="s">
        <v>94</v>
      </c>
      <c r="E8" s="14" t="str">
        <f aca="false">IF(B8=C8,"✓","✗")</f>
        <v>✓</v>
      </c>
      <c r="F8" s="14" t="str">
        <f aca="false">IF(D8="✓","Pass","FAIL")</f>
        <v>FAIL</v>
      </c>
    </row>
    <row r="9" customFormat="false" ht="15" hidden="false" customHeight="true" outlineLevel="0" collapsed="false">
      <c r="A9" s="1" t="s">
        <v>95</v>
      </c>
      <c r="B9" s="9" t="s">
        <v>36</v>
      </c>
      <c r="C9" s="9" t="s">
        <v>36</v>
      </c>
      <c r="D9" s="9" t="s">
        <v>36</v>
      </c>
      <c r="E9" s="14" t="str">
        <f aca="false">IF(B9=C9,"✓","✗")</f>
        <v>✓</v>
      </c>
      <c r="F9" s="14" t="str">
        <f aca="false">IF(D9="✓","Pass","FAIL")</f>
        <v>FAIL</v>
      </c>
    </row>
    <row r="10" customFormat="false" ht="15" hidden="false" customHeight="true" outlineLevel="0" collapsed="false">
      <c r="A10" s="1" t="s">
        <v>96</v>
      </c>
      <c r="B10" s="9" t="n">
        <v>250</v>
      </c>
      <c r="C10" s="9" t="n">
        <v>250</v>
      </c>
      <c r="D10" s="9" t="n">
        <v>250</v>
      </c>
      <c r="E10" s="14" t="str">
        <f aca="false">IF(B10=C10,"✓","✗")</f>
        <v>✓</v>
      </c>
      <c r="F10" s="14" t="str">
        <f aca="false">IF(D10="✓","Pass","FAIL")</f>
        <v>FAIL</v>
      </c>
    </row>
    <row r="11" customFormat="false" ht="15" hidden="false" customHeight="true" outlineLevel="0" collapsed="false">
      <c r="A11" s="1" t="s">
        <v>97</v>
      </c>
      <c r="B11" s="9" t="n">
        <v>50</v>
      </c>
      <c r="C11" s="9" t="s">
        <v>19</v>
      </c>
      <c r="D11" s="9" t="n">
        <v>50</v>
      </c>
      <c r="E11" s="14" t="str">
        <f aca="false">IF(B11=D11,"✓","✗")</f>
        <v>✓</v>
      </c>
      <c r="F11" s="14" t="str">
        <f aca="false">IF(D11="✓","Pass","FAIL")</f>
        <v>FAIL</v>
      </c>
    </row>
    <row r="13" customFormat="false" ht="15" hidden="false" customHeight="true" outlineLevel="0" collapsed="false">
      <c r="A13" s="3" t="s">
        <v>98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13" t="s">
        <v>10</v>
      </c>
      <c r="B14" s="13" t="s">
        <v>99</v>
      </c>
      <c r="C14" s="13" t="s">
        <v>100</v>
      </c>
      <c r="D14" s="13" t="s">
        <v>101</v>
      </c>
      <c r="E14" s="13" t="s">
        <v>102</v>
      </c>
      <c r="F14" s="13" t="s">
        <v>103</v>
      </c>
    </row>
    <row r="15" customFormat="false" ht="15" hidden="false" customHeight="true" outlineLevel="0" collapsed="false">
      <c r="A15" s="1" t="s">
        <v>18</v>
      </c>
      <c r="B15" s="8" t="n">
        <v>1500</v>
      </c>
      <c r="C15" s="5" t="n">
        <v>1500</v>
      </c>
      <c r="D15" s="15" t="n">
        <f aca="false">C15-B15</f>
        <v>0</v>
      </c>
      <c r="E15" s="16" t="n">
        <f aca="false">D15/B15</f>
        <v>0</v>
      </c>
      <c r="F15" s="14" t="str">
        <f aca="false">IF(E15&gt;0.25,"High Premium",IF(E15&gt;0.15,"Moderate Premium",IF(E15&gt;0,"Fair Premium","At/Below Fair Value")))</f>
        <v>At/Below Fair Value</v>
      </c>
    </row>
    <row r="16" customFormat="false" ht="15" hidden="false" customHeight="true" outlineLevel="0" collapsed="false">
      <c r="A16" s="1" t="s">
        <v>24</v>
      </c>
      <c r="B16" s="8" t="n">
        <v>1250</v>
      </c>
      <c r="C16" s="5" t="n">
        <v>1250</v>
      </c>
      <c r="D16" s="15" t="n">
        <f aca="false">C16-B16</f>
        <v>0</v>
      </c>
      <c r="E16" s="16" t="n">
        <f aca="false">D16/B16</f>
        <v>0</v>
      </c>
      <c r="F16" s="14" t="str">
        <f aca="false">IF(E16&gt;0.25,"High Premium",IF(E16&gt;0.15,"Moderate Premium",IF(E16&gt;0,"Fair Premium","At/Below Fair Value")))</f>
        <v>At/Below Fair Value</v>
      </c>
    </row>
  </sheetData>
  <mergeCells count="3">
    <mergeCell ref="A1:F1"/>
    <mergeCell ref="A3:F3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35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25"/>
    <col collapsed="false" customWidth="true" hidden="false" outlineLevel="0" max="7" min="7" style="1" width="20"/>
    <col collapsed="false" customWidth="true" hidden="false" outlineLevel="0" max="8" min="8" style="1" width="25"/>
    <col collapsed="false" customWidth="true" hidden="false" outlineLevel="0" max="9" min="9" style="1" width="15"/>
  </cols>
  <sheetData>
    <row r="1" customFormat="false" ht="17.25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7" t="s">
        <v>105</v>
      </c>
      <c r="B3" s="17"/>
      <c r="C3" s="17"/>
      <c r="D3" s="17"/>
      <c r="E3" s="17"/>
      <c r="F3" s="17"/>
      <c r="G3" s="17"/>
      <c r="H3" s="17"/>
      <c r="I3" s="17"/>
    </row>
    <row r="5" customFormat="false" ht="15" hidden="false" customHeight="true" outlineLevel="0" collapsed="false">
      <c r="A5" s="3" t="s">
        <v>106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A6" s="13" t="s">
        <v>107</v>
      </c>
      <c r="B6" s="13" t="s">
        <v>57</v>
      </c>
      <c r="C6" s="13" t="s">
        <v>108</v>
      </c>
      <c r="D6" s="13" t="s">
        <v>59</v>
      </c>
      <c r="E6" s="13" t="s">
        <v>109</v>
      </c>
      <c r="F6" s="13" t="s">
        <v>110</v>
      </c>
      <c r="G6" s="13" t="s">
        <v>111</v>
      </c>
      <c r="H6" s="13" t="s">
        <v>112</v>
      </c>
      <c r="I6" s="13" t="s">
        <v>58</v>
      </c>
    </row>
    <row r="7" customFormat="false" ht="15" hidden="false" customHeight="true" outlineLevel="0" collapsed="false">
      <c r="A7" s="1" t="s">
        <v>113</v>
      </c>
      <c r="B7" s="1" t="s">
        <v>69</v>
      </c>
      <c r="C7" s="1" t="s">
        <v>114</v>
      </c>
      <c r="D7" s="12" t="s">
        <v>79</v>
      </c>
      <c r="E7" s="18" t="n">
        <v>-100</v>
      </c>
      <c r="F7" s="1" t="s">
        <v>115</v>
      </c>
      <c r="G7" s="1" t="s">
        <v>116</v>
      </c>
      <c r="H7" s="1" t="s">
        <v>116</v>
      </c>
      <c r="I7" s="1" t="s">
        <v>117</v>
      </c>
    </row>
    <row r="8" customFormat="false" ht="15" hidden="false" customHeight="true" outlineLevel="0" collapsed="false">
      <c r="A8" s="1" t="s">
        <v>118</v>
      </c>
      <c r="B8" s="1" t="s">
        <v>64</v>
      </c>
      <c r="C8" s="1" t="s">
        <v>119</v>
      </c>
      <c r="D8" s="10" t="s">
        <v>66</v>
      </c>
      <c r="E8" s="18" t="n">
        <v>10</v>
      </c>
      <c r="F8" s="1" t="s">
        <v>120</v>
      </c>
      <c r="G8" s="1" t="s">
        <v>121</v>
      </c>
      <c r="H8" s="1" t="s">
        <v>121</v>
      </c>
      <c r="I8" s="1" t="s">
        <v>117</v>
      </c>
    </row>
    <row r="9" customFormat="false" ht="15" hidden="false" customHeight="true" outlineLevel="0" collapsed="false">
      <c r="A9" s="1" t="s">
        <v>122</v>
      </c>
      <c r="B9" s="1" t="s">
        <v>74</v>
      </c>
      <c r="C9" s="1" t="s">
        <v>123</v>
      </c>
      <c r="D9" s="11" t="s">
        <v>70</v>
      </c>
      <c r="E9" s="18" t="n">
        <v>-50</v>
      </c>
      <c r="F9" s="1" t="s">
        <v>124</v>
      </c>
      <c r="G9" s="1" t="s">
        <v>125</v>
      </c>
      <c r="H9" s="1" t="s">
        <v>126</v>
      </c>
      <c r="I9" s="1" t="s">
        <v>41</v>
      </c>
    </row>
    <row r="10" customFormat="false" ht="15" hidden="false" customHeight="true" outlineLevel="0" collapsed="false">
      <c r="A10" s="1" t="s">
        <v>127</v>
      </c>
      <c r="B10" s="1" t="s">
        <v>128</v>
      </c>
      <c r="C10" s="1" t="s">
        <v>129</v>
      </c>
      <c r="D10" s="11" t="s">
        <v>70</v>
      </c>
      <c r="E10" s="18" t="n">
        <v>-20</v>
      </c>
      <c r="F10" s="1" t="s">
        <v>130</v>
      </c>
      <c r="G10" s="1" t="s">
        <v>131</v>
      </c>
      <c r="H10" s="1" t="s">
        <v>132</v>
      </c>
      <c r="I10" s="1" t="s">
        <v>133</v>
      </c>
    </row>
    <row r="11" customFormat="false" ht="15" hidden="false" customHeight="true" outlineLevel="0" collapsed="false">
      <c r="A11" s="1" t="s">
        <v>134</v>
      </c>
      <c r="B11" s="1" t="s">
        <v>77</v>
      </c>
      <c r="C11" s="1" t="s">
        <v>135</v>
      </c>
      <c r="D11" s="12" t="s">
        <v>79</v>
      </c>
      <c r="E11" s="18" t="n">
        <v>-150</v>
      </c>
      <c r="F11" s="1" t="s">
        <v>136</v>
      </c>
      <c r="G11" s="1" t="s">
        <v>137</v>
      </c>
      <c r="H11" s="1" t="s">
        <v>138</v>
      </c>
      <c r="I11" s="1" t="s">
        <v>20</v>
      </c>
    </row>
    <row r="13" customFormat="false" ht="15" hidden="false" customHeight="true" outlineLevel="0" collapsed="false">
      <c r="A13" s="3" t="s">
        <v>139</v>
      </c>
      <c r="B13" s="3"/>
      <c r="C13" s="3"/>
      <c r="D13" s="3"/>
      <c r="E13" s="3"/>
    </row>
    <row r="14" customFormat="false" ht="15" hidden="false" customHeight="true" outlineLevel="0" collapsed="false">
      <c r="A14" s="1" t="s">
        <v>140</v>
      </c>
      <c r="B14" s="15" t="n">
        <f aca="false">SUM(E7:E11)</f>
        <v>-310</v>
      </c>
    </row>
    <row r="15" customFormat="false" ht="15" hidden="false" customHeight="true" outlineLevel="0" collapsed="false">
      <c r="A15" s="1" t="s">
        <v>141</v>
      </c>
      <c r="B15" s="14" t="n">
        <f aca="false">COUNTIF(D7:D11,"High")</f>
        <v>2</v>
      </c>
    </row>
    <row r="16" customFormat="false" ht="15" hidden="false" customHeight="true" outlineLevel="0" collapsed="false">
      <c r="A16" s="1" t="s">
        <v>142</v>
      </c>
      <c r="B16" s="14" t="n">
        <f aca="false">COUNTIF(I7:I11,"Pending")+COUNTIF(I7:I11,"In Progress")</f>
        <v>2</v>
      </c>
    </row>
  </sheetData>
  <mergeCells count="4">
    <mergeCell ref="A1:I1"/>
    <mergeCell ref="A3:I3"/>
    <mergeCell ref="A5:I5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0"/>
  </cols>
  <sheetData>
    <row r="1" customFormat="false" ht="17.25" hidden="false" customHeight="true" outlineLevel="0" collapsed="false">
      <c r="A1" s="2" t="s">
        <v>143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144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13" t="s">
        <v>10</v>
      </c>
      <c r="B4" s="13" t="s">
        <v>145</v>
      </c>
      <c r="C4" s="13" t="s">
        <v>146</v>
      </c>
      <c r="D4" s="13" t="s">
        <v>147</v>
      </c>
      <c r="E4" s="13" t="s">
        <v>148</v>
      </c>
      <c r="F4" s="13" t="s">
        <v>149</v>
      </c>
    </row>
    <row r="5" customFormat="false" ht="15" hidden="false" customHeight="true" outlineLevel="0" collapsed="false">
      <c r="A5" s="7" t="s">
        <v>150</v>
      </c>
      <c r="B5" s="8" t="n">
        <v>1500</v>
      </c>
      <c r="C5" s="8" t="n">
        <v>1200</v>
      </c>
      <c r="D5" s="8" t="n">
        <v>1800</v>
      </c>
      <c r="E5" s="8" t="n">
        <v>1600</v>
      </c>
      <c r="F5" s="8" t="n">
        <v>1400</v>
      </c>
    </row>
    <row r="6" customFormat="false" ht="15" hidden="false" customHeight="true" outlineLevel="0" collapsed="false">
      <c r="A6" s="7" t="s">
        <v>151</v>
      </c>
      <c r="B6" s="19" t="n">
        <v>0.23</v>
      </c>
      <c r="C6" s="19" t="n">
        <v>0.18</v>
      </c>
      <c r="D6" s="19" t="n">
        <v>0.28</v>
      </c>
      <c r="E6" s="19" t="n">
        <v>0.25</v>
      </c>
      <c r="F6" s="19" t="n">
        <v>0.21</v>
      </c>
    </row>
    <row r="7" customFormat="false" ht="15" hidden="false" customHeight="true" outlineLevel="0" collapsed="false">
      <c r="A7" s="7" t="s">
        <v>152</v>
      </c>
      <c r="B7" s="20" t="n">
        <v>2.8</v>
      </c>
      <c r="C7" s="20" t="n">
        <v>2.2</v>
      </c>
      <c r="D7" s="20" t="n">
        <v>3.5</v>
      </c>
      <c r="E7" s="20" t="n">
        <v>3</v>
      </c>
      <c r="F7" s="20" t="n">
        <v>2.6</v>
      </c>
    </row>
    <row r="8" customFormat="false" ht="15" hidden="false" customHeight="true" outlineLevel="0" collapsed="false">
      <c r="A8" s="7" t="s">
        <v>153</v>
      </c>
      <c r="B8" s="19" t="n">
        <v>0.05</v>
      </c>
      <c r="C8" s="19" t="n">
        <v>0.02</v>
      </c>
      <c r="D8" s="19" t="n">
        <v>0.08</v>
      </c>
      <c r="E8" s="19" t="n">
        <v>0.06</v>
      </c>
      <c r="F8" s="19" t="n">
        <v>0.04</v>
      </c>
    </row>
    <row r="9" customFormat="false" ht="15" hidden="false" customHeight="true" outlineLevel="0" collapsed="false">
      <c r="A9" s="7" t="s">
        <v>39</v>
      </c>
      <c r="B9" s="19" t="n">
        <v>0.08</v>
      </c>
      <c r="C9" s="19" t="n">
        <v>0.05</v>
      </c>
      <c r="D9" s="19" t="n">
        <v>0.12</v>
      </c>
      <c r="E9" s="19" t="n">
        <v>0.1</v>
      </c>
      <c r="F9" s="19" t="n">
        <v>0.06</v>
      </c>
    </row>
    <row r="10" customFormat="false" ht="15" hidden="false" customHeight="true" outlineLevel="0" collapsed="false">
      <c r="A10" s="7" t="s">
        <v>44</v>
      </c>
      <c r="B10" s="19" t="n">
        <v>0.22</v>
      </c>
      <c r="C10" s="19" t="n">
        <v>0.2</v>
      </c>
      <c r="D10" s="19" t="n">
        <v>0.24</v>
      </c>
      <c r="E10" s="19" t="n">
        <v>0.23</v>
      </c>
      <c r="F10" s="19" t="n">
        <v>0.22</v>
      </c>
    </row>
    <row r="11" customFormat="false" ht="15" hidden="false" customHeight="true" outlineLevel="0" collapsed="false">
      <c r="A11" s="7" t="s">
        <v>154</v>
      </c>
      <c r="B11" s="20" t="n">
        <v>10</v>
      </c>
      <c r="C11" s="20" t="n">
        <v>8</v>
      </c>
      <c r="D11" s="20" t="n">
        <v>12</v>
      </c>
      <c r="E11" s="20" t="n">
        <v>11</v>
      </c>
      <c r="F11" s="20" t="n">
        <v>9.5</v>
      </c>
    </row>
    <row r="12" customFormat="false" ht="15" hidden="false" customHeight="true" outlineLevel="0" collapsed="false">
      <c r="A12" s="7" t="s">
        <v>155</v>
      </c>
      <c r="B12" s="9" t="n">
        <v>5</v>
      </c>
      <c r="C12" s="9" t="n">
        <v>7</v>
      </c>
      <c r="D12" s="9" t="n">
        <v>3</v>
      </c>
      <c r="E12" s="9" t="n">
        <v>4</v>
      </c>
      <c r="F12" s="9" t="n">
        <v>6</v>
      </c>
    </row>
    <row r="15" customFormat="false" ht="15" hidden="false" customHeight="true" outlineLevel="0" collapsed="false">
      <c r="A15" s="3" t="s">
        <v>156</v>
      </c>
      <c r="B15" s="3"/>
      <c r="C15" s="3"/>
      <c r="D15" s="3"/>
      <c r="E15" s="3"/>
      <c r="F15" s="3"/>
    </row>
    <row r="16" customFormat="false" ht="15" hidden="false" customHeight="true" outlineLevel="0" collapsed="false">
      <c r="A16" s="1" t="s">
        <v>157</v>
      </c>
    </row>
    <row r="17" customFormat="false" ht="15" hidden="false" customHeight="true" outlineLevel="0" collapsed="false">
      <c r="A17" s="1" t="s">
        <v>158</v>
      </c>
      <c r="B17" s="4" t="s">
        <v>159</v>
      </c>
    </row>
    <row r="18" customFormat="false" ht="15" hidden="false" customHeight="true" outlineLevel="0" collapsed="false">
      <c r="A18" s="1" t="s">
        <v>160</v>
      </c>
      <c r="B18" s="4" t="s">
        <v>161</v>
      </c>
    </row>
    <row r="19" customFormat="false" ht="15" hidden="false" customHeight="true" outlineLevel="0" collapsed="false">
      <c r="A19" s="1" t="s">
        <v>162</v>
      </c>
      <c r="B19" s="4" t="s">
        <v>163</v>
      </c>
    </row>
  </sheetData>
  <mergeCells count="3">
    <mergeCell ref="A1:F1"/>
    <mergeCell ref="A3:F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21"/>
      <c r="B1" s="21"/>
      <c r="C1" s="21"/>
      <c r="D1" s="21"/>
    </row>
    <row r="2" customFormat="false" ht="15" hidden="false" customHeight="true" outlineLevel="0" collapsed="false">
      <c r="A2" s="22" t="s">
        <v>164</v>
      </c>
    </row>
    <row r="4" customFormat="false" ht="15" hidden="false" customHeight="true" outlineLevel="0" collapsed="false">
      <c r="A4" s="23" t="s">
        <v>165</v>
      </c>
    </row>
    <row r="5" customFormat="false" ht="15" hidden="false" customHeight="true" outlineLevel="0" collapsed="false">
      <c r="A5" s="24" t="s">
        <v>166</v>
      </c>
    </row>
    <row r="6" customFormat="false" ht="15" hidden="false" customHeight="true" outlineLevel="0" collapsed="false">
      <c r="A6" s="1" t="s">
        <v>167</v>
      </c>
    </row>
    <row r="7" customFormat="false" ht="15" hidden="false" customHeight="true" outlineLevel="0" collapsed="false">
      <c r="A7" s="1" t="s">
        <v>168</v>
      </c>
    </row>
    <row r="8" customFormat="false" ht="15" hidden="false" customHeight="true" outlineLevel="0" collapsed="false">
      <c r="A8" s="1" t="s">
        <v>169</v>
      </c>
    </row>
    <row r="9" customFormat="false" ht="15" hidden="false" customHeight="true" outlineLevel="0" collapsed="false">
      <c r="A9" s="1" t="s">
        <v>170</v>
      </c>
    </row>
    <row r="10" customFormat="false" ht="15" hidden="false" customHeight="true" outlineLevel="0" collapsed="false">
      <c r="A10" s="1" t="s">
        <v>171</v>
      </c>
    </row>
    <row r="12" customFormat="false" ht="15" hidden="false" customHeight="true" outlineLevel="0" collapsed="false">
      <c r="A12" s="23" t="s">
        <v>172</v>
      </c>
    </row>
    <row r="13" customFormat="false" ht="15" hidden="false" customHeight="true" outlineLevel="0" collapsed="false">
      <c r="A13" s="24" t="s">
        <v>173</v>
      </c>
    </row>
    <row r="14" customFormat="false" ht="15" hidden="false" customHeight="true" outlineLevel="0" collapsed="false">
      <c r="A14" s="24" t="s">
        <v>174</v>
      </c>
    </row>
    <row r="15" customFormat="false" ht="15" hidden="false" customHeight="true" outlineLevel="0" collapsed="false">
      <c r="A15" s="24" t="s">
        <v>175</v>
      </c>
    </row>
    <row r="16" customFormat="false" ht="15" hidden="false" customHeight="true" outlineLevel="0" collapsed="false">
      <c r="A16" s="24" t="s">
        <v>176</v>
      </c>
    </row>
    <row r="18" customFormat="false" ht="15" hidden="false" customHeight="true" outlineLevel="0" collapsed="false">
      <c r="A18" s="23" t="s">
        <v>177</v>
      </c>
    </row>
    <row r="19" customFormat="false" ht="15" hidden="false" customHeight="true" outlineLevel="0" collapsed="false">
      <c r="A19" s="1" t="s">
        <v>178</v>
      </c>
    </row>
    <row r="20" customFormat="false" ht="15" hidden="false" customHeight="true" outlineLevel="0" collapsed="false">
      <c r="A20" s="1" t="s">
        <v>179</v>
      </c>
    </row>
    <row r="21" customFormat="false" ht="15" hidden="false" customHeight="true" outlineLevel="0" collapsed="false">
      <c r="A21" s="1" t="s">
        <v>180</v>
      </c>
    </row>
    <row r="22" customFormat="false" ht="15" hidden="false" customHeight="true" outlineLevel="0" collapsed="false">
      <c r="A22" s="1" t="s">
        <v>179</v>
      </c>
    </row>
    <row r="23" customFormat="false" ht="15" hidden="false" customHeight="true" outlineLevel="0" collapsed="false">
      <c r="A23" s="1" t="s">
        <v>181</v>
      </c>
    </row>
    <row r="24" customFormat="false" ht="15" hidden="false" customHeight="true" outlineLevel="0" collapsed="false">
      <c r="A24" s="1" t="s">
        <v>179</v>
      </c>
    </row>
    <row r="25" customFormat="false" ht="15" hidden="false" customHeight="true" outlineLevel="0" collapsed="false">
      <c r="A25" s="1" t="s">
        <v>182</v>
      </c>
    </row>
    <row r="27" customFormat="false" ht="15" hidden="false" customHeight="true" outlineLevel="0" collapsed="false">
      <c r="A27" s="23" t="s">
        <v>183</v>
      </c>
    </row>
    <row r="29" customFormat="false" ht="15" hidden="false" customHeight="true" outlineLevel="0" collapsed="false">
      <c r="A29" s="1" t="s">
        <v>184</v>
      </c>
    </row>
    <row r="30" customFormat="false" ht="15" hidden="false" customHeight="true" outlineLevel="0" collapsed="false">
      <c r="A30" s="24" t="s">
        <v>185</v>
      </c>
    </row>
    <row r="31" customFormat="false" ht="15" hidden="false" customHeight="true" outlineLevel="0" collapsed="false">
      <c r="A31" s="24" t="s">
        <v>186</v>
      </c>
    </row>
    <row r="32" customFormat="false" ht="15" hidden="false" customHeight="true" outlineLevel="0" collapsed="false">
      <c r="A32" s="24" t="s">
        <v>187</v>
      </c>
    </row>
    <row r="34" customFormat="false" ht="15" hidden="false" customHeight="true" outlineLevel="0" collapsed="false">
      <c r="A34" s="1" t="s">
        <v>188</v>
      </c>
    </row>
    <row r="35" customFormat="false" ht="15" hidden="false" customHeight="true" outlineLevel="0" collapsed="false">
      <c r="A35" s="24" t="s">
        <v>189</v>
      </c>
    </row>
    <row r="36" customFormat="false" ht="15" hidden="false" customHeight="true" outlineLevel="0" collapsed="false">
      <c r="A36" s="24" t="s">
        <v>190</v>
      </c>
    </row>
    <row r="37" customFormat="false" ht="15" hidden="false" customHeight="true" outlineLevel="0" collapsed="false">
      <c r="A37" s="24" t="s">
        <v>191</v>
      </c>
    </row>
    <row r="39" customFormat="false" ht="15" hidden="false" customHeight="true" outlineLevel="0" collapsed="false">
      <c r="A39" s="1" t="s">
        <v>192</v>
      </c>
    </row>
    <row r="40" customFormat="false" ht="15" hidden="false" customHeight="true" outlineLevel="0" collapsed="false">
      <c r="A40" s="24" t="s">
        <v>193</v>
      </c>
    </row>
    <row r="41" customFormat="false" ht="15" hidden="false" customHeight="true" outlineLevel="0" collapsed="false">
      <c r="A41" s="24" t="s">
        <v>194</v>
      </c>
    </row>
    <row r="42" customFormat="false" ht="15" hidden="false" customHeight="true" outlineLevel="0" collapsed="false">
      <c r="A42" s="24" t="s">
        <v>195</v>
      </c>
    </row>
    <row r="44" customFormat="false" ht="15" hidden="false" customHeight="true" outlineLevel="0" collapsed="false">
      <c r="A44" s="1" t="s">
        <v>196</v>
      </c>
    </row>
    <row r="45" customFormat="false" ht="15" hidden="false" customHeight="true" outlineLevel="0" collapsed="false">
      <c r="A45" s="24" t="s">
        <v>197</v>
      </c>
    </row>
    <row r="46" customFormat="false" ht="15" hidden="false" customHeight="true" outlineLevel="0" collapsed="false">
      <c r="A46" s="24" t="s">
        <v>198</v>
      </c>
    </row>
    <row r="47" customFormat="false" ht="15" hidden="false" customHeight="true" outlineLevel="0" collapsed="false">
      <c r="A47" s="24" t="s">
        <v>199</v>
      </c>
    </row>
    <row r="49" customFormat="false" ht="15" hidden="false" customHeight="true" outlineLevel="0" collapsed="false">
      <c r="A49" s="23" t="s">
        <v>200</v>
      </c>
    </row>
    <row r="50" customFormat="false" ht="15" hidden="false" customHeight="true" outlineLevel="0" collapsed="false">
      <c r="A50" s="1" t="s">
        <v>201</v>
      </c>
    </row>
    <row r="51" customFormat="false" ht="15" hidden="false" customHeight="true" outlineLevel="0" collapsed="false">
      <c r="A51" s="1" t="s">
        <v>202</v>
      </c>
    </row>
    <row r="52" customFormat="false" ht="15" hidden="false" customHeight="true" outlineLevel="0" collapsed="false">
      <c r="A52" s="1" t="s">
        <v>203</v>
      </c>
    </row>
    <row r="53" customFormat="false" ht="15" hidden="false" customHeight="true" outlineLevel="0" collapsed="false">
      <c r="A53" s="1" t="s">
        <v>204</v>
      </c>
    </row>
    <row r="54" customFormat="false" ht="15" hidden="false" customHeight="true" outlineLevel="0" collapsed="false">
      <c r="A54" s="1" t="s">
        <v>205</v>
      </c>
    </row>
    <row r="55" customFormat="false" ht="15" hidden="false" customHeight="true" outlineLevel="0" collapsed="false">
      <c r="A55" s="1" t="s">
        <v>206</v>
      </c>
    </row>
    <row r="56" customFormat="false" ht="15" hidden="false" customHeight="true" outlineLevel="0" collapsed="false">
      <c r="A56" s="1" t="s">
        <v>207</v>
      </c>
    </row>
    <row r="57" customFormat="false" ht="15" hidden="false" customHeight="true" outlineLevel="0" collapsed="false">
      <c r="A57" s="1" t="s">
        <v>208</v>
      </c>
    </row>
    <row r="58" customFormat="false" ht="15" hidden="false" customHeight="true" outlineLevel="0" collapsed="false">
      <c r="A58" s="1" t="s">
        <v>209</v>
      </c>
    </row>
    <row r="60" customFormat="false" ht="15" hidden="false" customHeight="true" outlineLevel="0" collapsed="false">
      <c r="A60" s="23" t="s">
        <v>210</v>
      </c>
    </row>
    <row r="61" customFormat="false" ht="15" hidden="false" customHeight="true" outlineLevel="0" collapsed="false">
      <c r="A61" s="24" t="s">
        <v>211</v>
      </c>
    </row>
    <row r="62" customFormat="false" ht="15" hidden="false" customHeight="true" outlineLevel="0" collapsed="false">
      <c r="A62" s="24" t="s">
        <v>212</v>
      </c>
    </row>
    <row r="63" customFormat="false" ht="15" hidden="false" customHeight="true" outlineLevel="0" collapsed="false">
      <c r="A63" s="24" t="s">
        <v>213</v>
      </c>
    </row>
    <row r="64" customFormat="false" ht="15" hidden="false" customHeight="true" outlineLevel="0" collapsed="false">
      <c r="A64" s="24" t="s">
        <v>214</v>
      </c>
    </row>
    <row r="65" customFormat="false" ht="15" hidden="false" customHeight="true" outlineLevel="0" collapsed="false">
      <c r="A65" s="24" t="s">
        <v>215</v>
      </c>
    </row>
    <row r="66" customFormat="false" ht="15" hidden="false" customHeight="true" outlineLevel="0" collapsed="false">
      <c r="A66" s="24" t="s">
        <v>216</v>
      </c>
    </row>
    <row r="67" customFormat="false" ht="15" hidden="false" customHeight="true" outlineLevel="0" collapsed="false">
      <c r="A67" s="24" t="s">
        <v>217</v>
      </c>
    </row>
    <row r="68" customFormat="false" ht="15" hidden="false" customHeight="true" outlineLevel="0" collapsed="false">
      <c r="A68" s="24" t="s">
        <v>218</v>
      </c>
    </row>
    <row r="70" customFormat="false" ht="15" hidden="false" customHeight="true" outlineLevel="0" collapsed="false">
      <c r="A70" s="22" t="s">
        <v>219</v>
      </c>
    </row>
    <row r="71" customFormat="false" ht="15" hidden="false" customHeight="true" outlineLevel="0" collapsed="false">
      <c r="A71" s="1" t="s">
        <v>220</v>
      </c>
    </row>
    <row r="72" customFormat="false" ht="15" hidden="false" customHeight="true" outlineLevel="0" collapsed="false">
      <c r="A72" s="1" t="s">
        <v>221</v>
      </c>
    </row>
    <row r="73" customFormat="false" ht="15" hidden="false" customHeight="true" outlineLevel="0" collapsed="false">
      <c r="A73" s="1" t="s">
        <v>222</v>
      </c>
    </row>
    <row r="74" customFormat="false" ht="15" hidden="false" customHeight="true" outlineLevel="0" collapsed="false">
      <c r="A74" s="1" t="s">
        <v>223</v>
      </c>
    </row>
    <row r="75" customFormat="false" ht="15" hidden="false" customHeight="true" outlineLevel="0" collapsed="false">
      <c r="A75" s="1" t="s">
        <v>224</v>
      </c>
    </row>
    <row r="76" customFormat="false" ht="15" hidden="false" customHeight="true" outlineLevel="0" collapsed="false">
      <c r="A76" s="1" t="s">
        <v>225</v>
      </c>
    </row>
    <row r="77" customFormat="false" ht="15" hidden="false" customHeight="true" outlineLevel="0" collapsed="false">
      <c r="A77" s="1" t="s">
        <v>226</v>
      </c>
    </row>
    <row r="79" customFormat="false" ht="15" hidden="false" customHeight="true" outlineLevel="0" collapsed="false">
      <c r="A79" s="23" t="s">
        <v>227</v>
      </c>
    </row>
    <row r="80" customFormat="false" ht="15" hidden="false" customHeight="true" outlineLevel="0" collapsed="false">
      <c r="A80" s="24" t="s">
        <v>228</v>
      </c>
    </row>
    <row r="81" customFormat="false" ht="15" hidden="false" customHeight="true" outlineLevel="0" collapsed="false">
      <c r="A81" s="24" t="s">
        <v>229</v>
      </c>
    </row>
    <row r="82" customFormat="false" ht="15" hidden="false" customHeight="true" outlineLevel="0" collapsed="false">
      <c r="A82" s="24" t="s">
        <v>230</v>
      </c>
    </row>
    <row r="83" customFormat="false" ht="15" hidden="false" customHeight="true" outlineLevel="0" collapsed="false">
      <c r="A83" s="24" t="s">
        <v>231</v>
      </c>
    </row>
    <row r="84" customFormat="false" ht="15" hidden="false" customHeight="true" outlineLevel="0" collapsed="false">
      <c r="A84" s="24" t="s">
        <v>232</v>
      </c>
    </row>
    <row r="85" customFormat="false" ht="15" hidden="false" customHeight="true" outlineLevel="0" collapsed="false">
      <c r="A85" s="24" t="s">
        <v>233</v>
      </c>
    </row>
    <row r="86" customFormat="false" ht="15" hidden="false" customHeight="true" outlineLevel="0" collapsed="false">
      <c r="A86" s="24" t="s">
        <v>234</v>
      </c>
    </row>
    <row r="88" customFormat="false" ht="15" hidden="false" customHeight="true" outlineLevel="0" collapsed="false">
      <c r="A88" s="23" t="s">
        <v>235</v>
      </c>
    </row>
    <row r="89" customFormat="false" ht="15" hidden="false" customHeight="true" outlineLevel="0" collapsed="false">
      <c r="A89" s="24" t="s">
        <v>236</v>
      </c>
    </row>
    <row r="90" customFormat="false" ht="15" hidden="false" customHeight="true" outlineLevel="0" collapsed="false">
      <c r="A90" s="24" t="s">
        <v>235</v>
      </c>
    </row>
    <row r="91" customFormat="false" ht="15" hidden="false" customHeight="true" outlineLevel="0" collapsed="false">
      <c r="A91" s="24" t="s">
        <v>237</v>
      </c>
    </row>
    <row r="92" customFormat="false" ht="15" hidden="false" customHeight="true" outlineLevel="0" collapsed="false">
      <c r="A92" s="24" t="s">
        <v>238</v>
      </c>
    </row>
    <row r="94" customFormat="false" ht="15" hidden="false" customHeight="true" outlineLevel="0" collapsed="false">
      <c r="A94" s="23" t="s">
        <v>239</v>
      </c>
    </row>
    <row r="95" customFormat="false" ht="15" hidden="false" customHeight="true" outlineLevel="0" collapsed="false">
      <c r="A95" s="24" t="s">
        <v>240</v>
      </c>
    </row>
    <row r="96" customFormat="false" ht="15" hidden="false" customHeight="true" outlineLevel="0" collapsed="false">
      <c r="A96" s="24" t="s">
        <v>241</v>
      </c>
    </row>
    <row r="97" customFormat="false" ht="15" hidden="false" customHeight="true" outlineLevel="0" collapsed="false">
      <c r="A97" s="24" t="s">
        <v>242</v>
      </c>
    </row>
    <row r="98" customFormat="false" ht="15" hidden="false" customHeight="true" outlineLevel="0" collapsed="false">
      <c r="A98" s="24" t="s">
        <v>243</v>
      </c>
    </row>
    <row r="99" customFormat="false" ht="15" hidden="false" customHeight="true" outlineLevel="0" collapsed="false">
      <c r="A99" s="24" t="s">
        <v>244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2025-10-30T14:21:45Z</dcterms:created>
  <dc:creator>openpyxl</dc:creator>
  <dc:description/>
  <dc:language>en-US</dc:language>
  <cp:lastModifiedBy/>
  <dcterms:modified xsi:type="dcterms:W3CDTF">2025-10-30T14:22:27Z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