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Forma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DCF Valuati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Market Analysis" sheetId="8" state="visible" r:id="rId8"/>
    <sheet xmlns:r="http://schemas.openxmlformats.org/officeDocument/2006/relationships" name="Development Budget" sheetId="9" state="visible" r:id="rId9"/>
    <sheet xmlns:r="http://schemas.openxmlformats.org/officeDocument/2006/relationships" name="AI Integration Gu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0x"/>
    <numFmt numFmtId="167" formatCode="($#,##0)"/>
    <numFmt numFmtId="168" formatCode="0.0%"/>
    <numFmt numFmtId="169" formatCode="0.0000"/>
  </numFmts>
  <fonts count="19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FFFFFF"/>
      <sz val="11"/>
    </font>
    <font>
      <b val="1"/>
    </font>
    <font>
      <i val="1"/>
    </font>
    <font>
      <name val="Calibri"/>
      <b val="1"/>
      <color rgb="00FFFFFF"/>
      <sz val="10"/>
    </font>
    <font>
      <i val="1"/>
      <color rgb="00FF0000"/>
      <sz val="10"/>
    </font>
    <font>
      <b val="1"/>
      <sz val="11"/>
    </font>
    <font>
      <i val="1"/>
      <sz val="9"/>
    </font>
    <font>
      <i val="1"/>
      <sz val="10"/>
    </font>
    <font>
      <i val="1"/>
      <color rgb="0000B050"/>
      <sz val="10"/>
    </font>
    <font>
      <i val="1"/>
      <color rgb="0000B050"/>
      <sz val="9"/>
    </font>
    <font>
      <b val="1"/>
      <color rgb="0000B050"/>
      <sz val="14"/>
    </font>
    <font>
      <b val="1"/>
      <sz val="12"/>
      <u val="single"/>
    </font>
    <font>
      <b val="1"/>
      <sz val="10"/>
    </font>
    <font>
      <b val="1"/>
      <color rgb="001F4E78"/>
      <sz val="10"/>
    </font>
    <font>
      <sz val="10"/>
    </font>
    <font>
      <i val="1"/>
      <color rgb="000000FF"/>
      <sz val="10"/>
    </font>
    <font/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4" borderId="1" pivotButton="0" quotePrefix="0" xfId="0"/>
    <xf numFmtId="10" fontId="0" fillId="4" borderId="1" pivotButton="0" quotePrefix="0" xfId="0"/>
    <xf numFmtId="166" fontId="0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0" fillId="0" borderId="1" pivotButton="0" quotePrefix="0" xfId="0"/>
    <xf numFmtId="0" fontId="6" fillId="0" borderId="0" pivotButton="0" quotePrefix="0" xfId="0"/>
    <xf numFmtId="3" fontId="0" fillId="3" borderId="1" pivotButton="0" quotePrefix="0" xfId="0"/>
    <xf numFmtId="3" fontId="0" fillId="6" borderId="1" pivotButton="0" quotePrefix="0" xfId="0"/>
    <xf numFmtId="10" fontId="0" fillId="3" borderId="1" pivotButton="0" quotePrefix="0" xfId="0"/>
    <xf numFmtId="164" fontId="0" fillId="3" borderId="1" pivotButton="0" quotePrefix="0" xfId="0"/>
    <xf numFmtId="165" fontId="0" fillId="6" borderId="1" pivotButton="0" quotePrefix="0" xfId="0"/>
    <xf numFmtId="3" fontId="0" fillId="4" borderId="1" pivotButton="0" quotePrefix="0" xfId="0"/>
    <xf numFmtId="1" fontId="0" fillId="3" borderId="1" pivotButton="0" quotePrefix="0" xfId="0"/>
    <xf numFmtId="0" fontId="0" fillId="6" borderId="1" pivotButton="0" quotePrefix="0" xfId="0"/>
    <xf numFmtId="164" fontId="0" fillId="6" borderId="1" pivotButton="0" quotePrefix="0" xfId="0"/>
    <xf numFmtId="10" fontId="0" fillId="6" borderId="1" pivotButton="0" quotePrefix="0" xfId="0"/>
    <xf numFmtId="167" fontId="0" fillId="6" borderId="1" pivotButton="0" quotePrefix="0" xfId="0"/>
    <xf numFmtId="166" fontId="0" fillId="6" borderId="1" pivotButton="0" quotePrefix="0" xfId="0"/>
    <xf numFmtId="167" fontId="0" fillId="4" borderId="1" pivotButton="0" quotePrefix="0" xfId="0"/>
    <xf numFmtId="0" fontId="7" fillId="0" borderId="0" pivotButton="0" quotePrefix="0" xfId="0"/>
    <xf numFmtId="168" fontId="5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169" fontId="0" fillId="6" borderId="1" pivotButton="0" quotePrefix="0" xfId="0"/>
    <xf numFmtId="0" fontId="10" fillId="0" borderId="0" pivotButton="0" quotePrefix="0" xfId="0"/>
    <xf numFmtId="0" fontId="0" fillId="7" borderId="1" pivotButton="0" quotePrefix="0" xfId="0"/>
    <xf numFmtId="164" fontId="0" fillId="7" borderId="1" pivotButton="0" quotePrefix="0" xfId="0"/>
    <xf numFmtId="10" fontId="0" fillId="7" borderId="1" pivotButton="0" quotePrefix="0" xfId="0"/>
    <xf numFmtId="1" fontId="0" fillId="6" borderId="1" pivotButton="0" quotePrefix="0" xfId="0"/>
    <xf numFmtId="0" fontId="11" fillId="0" borderId="0" pivotButton="0" quotePrefix="0" xfId="0"/>
    <xf numFmtId="0" fontId="2" fillId="2" borderId="1" pivotButton="0" quotePrefix="0" xfId="0"/>
    <xf numFmtId="0" fontId="18" fillId="0" borderId="1" pivotButton="0" quotePrefix="0" xfId="0"/>
    <xf numFmtId="165" fontId="0" fillId="3" borderId="1" pivotButton="0" quotePrefix="0" xfId="0"/>
    <xf numFmtId="0" fontId="0" fillId="0" borderId="1" pivotButton="0" quotePrefix="0" xfId="0"/>
    <xf numFmtId="165" fontId="0" fillId="7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REAL ESTATE FINANCIAL MODEL - EXECUTIVE SUMMARY</t>
        </is>
      </c>
    </row>
    <row r="2">
      <c r="A2" t="inlineStr">
        <is>
          <t>Generated: November 02, 2025</t>
        </is>
      </c>
    </row>
    <row r="4">
      <c r="A4" s="2" t="inlineStr">
        <is>
          <t>PROPERTY OVERVIEW</t>
        </is>
      </c>
    </row>
    <row r="5">
      <c r="A5" s="3" t="inlineStr">
        <is>
          <t>Property Name</t>
        </is>
      </c>
      <c r="B5" s="4">
        <f>Inputs!B5</f>
        <v/>
      </c>
    </row>
    <row r="6">
      <c r="A6" s="3" t="inlineStr">
        <is>
          <t>Property Type</t>
        </is>
      </c>
      <c r="B6" s="4">
        <f>Inputs!B6</f>
        <v/>
      </c>
    </row>
    <row r="7">
      <c r="A7" s="3" t="inlineStr">
        <is>
          <t>Address</t>
        </is>
      </c>
      <c r="B7" s="4">
        <f>Inputs!B7</f>
        <v/>
      </c>
    </row>
    <row r="8">
      <c r="A8" s="3" t="inlineStr">
        <is>
          <t>City/State</t>
        </is>
      </c>
      <c r="B8" s="4">
        <f>Inputs!B8</f>
        <v/>
      </c>
    </row>
    <row r="9">
      <c r="A9" s="3" t="inlineStr">
        <is>
          <t>Acquisition Date</t>
        </is>
      </c>
      <c r="B9" s="4">
        <f>Inputs!B9</f>
        <v/>
      </c>
    </row>
    <row r="10">
      <c r="A10" s="3" t="inlineStr">
        <is>
          <t>Hold Period (Years)</t>
        </is>
      </c>
      <c r="B10" s="4">
        <f>Inputs!B10</f>
        <v/>
      </c>
    </row>
    <row r="13">
      <c r="A13" s="2" t="inlineStr">
        <is>
          <t>KEY INVESTMENT METRICS</t>
        </is>
      </c>
    </row>
    <row r="14">
      <c r="A14" s="3" t="inlineStr">
        <is>
          <t>Total Acquisition Cost</t>
        </is>
      </c>
      <c r="B14" s="5">
        <f>Summary!B5</f>
        <v/>
      </c>
    </row>
    <row r="15">
      <c r="A15" s="3" t="inlineStr">
        <is>
          <t>Purchase Price per Unit</t>
        </is>
      </c>
      <c r="B15" s="5">
        <f>Summary!B6</f>
        <v/>
      </c>
    </row>
    <row r="16">
      <c r="A16" s="3" t="inlineStr">
        <is>
          <t>Purchase Price per SF</t>
        </is>
      </c>
      <c r="B16" s="6">
        <f>Summary!B7</f>
        <v/>
      </c>
    </row>
    <row r="17">
      <c r="A17" s="3" t="inlineStr">
        <is>
          <t>Entry Cap Rate</t>
        </is>
      </c>
      <c r="B17" s="7">
        <f>Summary!B8</f>
        <v/>
      </c>
    </row>
    <row r="18">
      <c r="A18" s="3" t="inlineStr">
        <is>
          <t>Year 1 NOI</t>
        </is>
      </c>
      <c r="B18" s="5">
        <f>Summary!B9</f>
        <v/>
      </c>
    </row>
    <row r="19">
      <c r="A19" s="3" t="inlineStr">
        <is>
          <t>Year 1 Cash-on-Cash Return</t>
        </is>
      </c>
      <c r="B19" s="7">
        <f>Summary!B10</f>
        <v/>
      </c>
    </row>
    <row r="20">
      <c r="A20" s="3" t="inlineStr">
        <is>
          <t>Unlevered IRR</t>
        </is>
      </c>
      <c r="B20" s="7">
        <f>Summary!B11</f>
        <v/>
      </c>
    </row>
    <row r="21">
      <c r="A21" s="3" t="inlineStr">
        <is>
          <t>Levered IRR</t>
        </is>
      </c>
      <c r="B21" s="7">
        <f>Summary!B12</f>
        <v/>
      </c>
    </row>
    <row r="22">
      <c r="A22" s="3" t="inlineStr">
        <is>
          <t>Equity Multiple</t>
        </is>
      </c>
      <c r="B22" s="8">
        <f>Summary!B13</f>
        <v/>
      </c>
    </row>
    <row r="23">
      <c r="A23" s="3" t="inlineStr">
        <is>
          <t>Exit Value</t>
        </is>
      </c>
      <c r="B23" s="5">
        <f>Summary!B14</f>
        <v/>
      </c>
    </row>
    <row r="24">
      <c r="A24" s="3" t="inlineStr">
        <is>
          <t>Exit Cap Rate</t>
        </is>
      </c>
      <c r="B24" s="7">
        <f>Summary!B15</f>
        <v/>
      </c>
    </row>
    <row r="25">
      <c r="A25" s="3" t="inlineStr">
        <is>
          <t>Total Return</t>
        </is>
      </c>
      <c r="B25" s="5">
        <f>Summary!B16</f>
        <v/>
      </c>
    </row>
    <row r="28">
      <c r="A28" s="2" t="inlineStr">
        <is>
          <t>SENSITIVITY ANALYSIS</t>
        </is>
      </c>
    </row>
    <row r="29">
      <c r="A29" s="9" t="inlineStr">
        <is>
          <t>IRR Sensitivity Matrix (Exit Cap Rate vs. Rent Growth)</t>
        </is>
      </c>
    </row>
    <row r="30">
      <c r="A30" t="inlineStr">
        <is>
          <t>Exit Cap →</t>
        </is>
      </c>
      <c r="B30" s="10" t="inlineStr">
        <is>
          <t>4.50%</t>
        </is>
      </c>
      <c r="C30" s="10" t="inlineStr">
        <is>
          <t>5.00%</t>
        </is>
      </c>
      <c r="D30" s="10" t="inlineStr">
        <is>
          <t>5.50%</t>
        </is>
      </c>
      <c r="E30" s="10" t="inlineStr">
        <is>
          <t>6.00%</t>
        </is>
      </c>
      <c r="F30" s="10" t="inlineStr">
        <is>
          <t>6.50%</t>
        </is>
      </c>
    </row>
    <row r="31">
      <c r="A31" s="3" t="inlineStr">
        <is>
          <t>Rent Growth 2.0%</t>
        </is>
      </c>
      <c r="B31" s="11">
        <f>Sensitivity!B10</f>
        <v/>
      </c>
      <c r="C31" s="11">
        <f>Sensitivity!C10</f>
        <v/>
      </c>
      <c r="D31" s="11">
        <f>Sensitivity!D10</f>
        <v/>
      </c>
      <c r="E31" s="11">
        <f>Sensitivity!E10</f>
        <v/>
      </c>
      <c r="F31" s="11">
        <f>Sensitivity!F10</f>
        <v/>
      </c>
    </row>
    <row r="32">
      <c r="A32" s="3" t="inlineStr">
        <is>
          <t>Rent Growth 3.0%</t>
        </is>
      </c>
      <c r="B32" s="11">
        <f>Sensitivity!B11</f>
        <v/>
      </c>
      <c r="C32" s="11">
        <f>Sensitivity!C11</f>
        <v/>
      </c>
      <c r="D32" s="11">
        <f>Sensitivity!D11</f>
        <v/>
      </c>
      <c r="E32" s="11">
        <f>Sensitivity!E11</f>
        <v/>
      </c>
      <c r="F32" s="11">
        <f>Sensitivity!F11</f>
        <v/>
      </c>
    </row>
    <row r="33">
      <c r="A33" s="3" t="inlineStr">
        <is>
          <t>Rent Growth 4.0%</t>
        </is>
      </c>
      <c r="B33" s="11">
        <f>Sensitivity!B12</f>
        <v/>
      </c>
      <c r="C33" s="11">
        <f>Sensitivity!C12</f>
        <v/>
      </c>
      <c r="D33" s="11">
        <f>Sensitivity!D12</f>
        <v/>
      </c>
      <c r="E33" s="11">
        <f>Sensitivity!E12</f>
        <v/>
      </c>
      <c r="F33" s="11">
        <f>Sensitivity!F12</f>
        <v/>
      </c>
    </row>
    <row r="34">
      <c r="A34" s="3" t="inlineStr">
        <is>
          <t>Rent Growth 5.0%</t>
        </is>
      </c>
      <c r="B34" s="11">
        <f>Sensitivity!B13</f>
        <v/>
      </c>
      <c r="C34" s="11">
        <f>Sensitivity!C13</f>
        <v/>
      </c>
      <c r="D34" s="11">
        <f>Sensitivity!D13</f>
        <v/>
      </c>
      <c r="E34" s="11">
        <f>Sensitivity!E13</f>
        <v/>
      </c>
      <c r="F34" s="11">
        <f>Sensitivity!F13</f>
        <v/>
      </c>
    </row>
    <row r="35">
      <c r="A35" s="3" t="inlineStr">
        <is>
          <t>Rent Growth 6.0%</t>
        </is>
      </c>
      <c r="B35" s="11">
        <f>Sensitivity!B14</f>
        <v/>
      </c>
      <c r="C35" s="11">
        <f>Sensitivity!C14</f>
        <v/>
      </c>
      <c r="D35" s="11">
        <f>Sensitivity!D14</f>
        <v/>
      </c>
      <c r="E35" s="11">
        <f>Sensitivity!E14</f>
        <v/>
      </c>
      <c r="F35" s="11">
        <f>Sensitivity!F14</f>
        <v/>
      </c>
    </row>
  </sheetData>
  <mergeCells count="5">
    <mergeCell ref="A13:M13"/>
    <mergeCell ref="A1:M1"/>
    <mergeCell ref="A4:M4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INPUT ASSUMPTIONS</t>
        </is>
      </c>
    </row>
    <row r="2">
      <c r="A2" s="12" t="inlineStr">
        <is>
          <t>⚠️ YELLOW CELLS = User Input Required</t>
        </is>
      </c>
    </row>
    <row r="4">
      <c r="A4" s="2" t="inlineStr">
        <is>
          <t>PROPERTY INFORMATION</t>
        </is>
      </c>
    </row>
    <row r="5">
      <c r="A5" s="3" t="inlineStr">
        <is>
          <t>Property Name</t>
        </is>
      </c>
      <c r="B5" s="4" t="inlineStr">
        <is>
          <t>Arcadia Gardens Apartments</t>
        </is>
      </c>
    </row>
    <row r="6">
      <c r="A6" s="3" t="inlineStr">
        <is>
          <t>Property Type</t>
        </is>
      </c>
      <c r="B6" s="4" t="inlineStr">
        <is>
          <t>Multifamily</t>
        </is>
      </c>
    </row>
    <row r="7">
      <c r="A7" s="3" t="inlineStr">
        <is>
          <t>Address</t>
        </is>
      </c>
      <c r="B7" s="4" t="inlineStr">
        <is>
          <t>1234 Main Street</t>
        </is>
      </c>
    </row>
    <row r="8">
      <c r="A8" s="3" t="inlineStr">
        <is>
          <t>City, State</t>
        </is>
      </c>
      <c r="B8" s="4" t="inlineStr">
        <is>
          <t>Phoenix, AZ</t>
        </is>
      </c>
    </row>
    <row r="9">
      <c r="A9" s="3" t="inlineStr">
        <is>
          <t>Acquisition Date</t>
        </is>
      </c>
      <c r="B9" s="4" t="inlineStr">
        <is>
          <t>1/1/2025</t>
        </is>
      </c>
    </row>
    <row r="10">
      <c r="A10" s="3" t="inlineStr">
        <is>
          <t>Hold Period (Years)</t>
        </is>
      </c>
      <c r="B10" s="4" t="n">
        <v>5</v>
      </c>
    </row>
    <row r="12">
      <c r="A12" s="3" t="inlineStr">
        <is>
          <t>Number of Units</t>
        </is>
      </c>
      <c r="B12" s="4" t="n">
        <v>150</v>
      </c>
    </row>
    <row r="13">
      <c r="A13" s="3" t="inlineStr">
        <is>
          <t>Average Unit Size (SF)</t>
        </is>
      </c>
      <c r="B13" s="13" t="n">
        <v>950</v>
      </c>
    </row>
    <row r="14">
      <c r="A14" s="3" t="inlineStr">
        <is>
          <t>Total Rentable SF</t>
        </is>
      </c>
      <c r="B14" s="14">
        <f>B12*B13</f>
        <v/>
      </c>
    </row>
    <row r="15">
      <c r="A15" s="3" t="inlineStr">
        <is>
          <t>Gross Square Feet</t>
        </is>
      </c>
      <c r="B15" s="14">
        <f>B14/0.92</f>
        <v/>
      </c>
    </row>
    <row r="16">
      <c r="A16" s="3" t="inlineStr">
        <is>
          <t>Parking Spaces</t>
        </is>
      </c>
      <c r="B16" s="4" t="n">
        <v>200</v>
      </c>
    </row>
    <row r="18">
      <c r="A18" s="3" t="inlineStr">
        <is>
          <t>Current Occupancy %</t>
        </is>
      </c>
      <c r="B18" s="15" t="n">
        <v>0.93</v>
      </c>
    </row>
    <row r="19">
      <c r="A19" s="3" t="inlineStr">
        <is>
          <t>Stabilized Occupancy %</t>
        </is>
      </c>
      <c r="B19" s="15" t="n">
        <v>0.95</v>
      </c>
    </row>
    <row r="21">
      <c r="A21" s="2" t="inlineStr">
        <is>
          <t>UNIT MIX &amp; RENTS</t>
        </is>
      </c>
    </row>
    <row r="22">
      <c r="A22" s="10" t="inlineStr">
        <is>
          <t>Unit Type</t>
        </is>
      </c>
      <c r="B22" s="10" t="inlineStr">
        <is>
          <t># Units</t>
        </is>
      </c>
      <c r="C22" s="10" t="inlineStr">
        <is>
          <t>Avg SF</t>
        </is>
      </c>
      <c r="D22" s="10" t="inlineStr">
        <is>
          <t>Total SF</t>
        </is>
      </c>
      <c r="E22" s="10" t="inlineStr">
        <is>
          <t>Market Rent/Month</t>
        </is>
      </c>
      <c r="F22" s="10" t="inlineStr">
        <is>
          <t>Market Rent/SF/Month</t>
        </is>
      </c>
    </row>
    <row r="23">
      <c r="A23" t="inlineStr">
        <is>
          <t>Studio</t>
        </is>
      </c>
      <c r="B23" s="13" t="n">
        <v>20</v>
      </c>
      <c r="C23" s="13" t="n">
        <v>550</v>
      </c>
      <c r="D23" s="14">
        <f>B23*C23</f>
        <v/>
      </c>
      <c r="E23" s="16" t="n">
        <v>0</v>
      </c>
      <c r="F23" s="17">
        <f>E23/C23</f>
        <v/>
      </c>
    </row>
    <row r="24">
      <c r="A24" t="inlineStr">
        <is>
          <t>1 Bed / 1 Bath</t>
        </is>
      </c>
      <c r="B24" s="13" t="n">
        <v>60</v>
      </c>
      <c r="C24" s="13" t="n">
        <v>750</v>
      </c>
      <c r="D24" s="14">
        <f>B24*C24</f>
        <v/>
      </c>
      <c r="E24" s="16" t="n">
        <v>0</v>
      </c>
      <c r="F24" s="17">
        <f>E24/C24</f>
        <v/>
      </c>
    </row>
    <row r="25">
      <c r="A25" t="inlineStr">
        <is>
          <t>2 Bed / 2 Bath</t>
        </is>
      </c>
      <c r="B25" s="13" t="n">
        <v>50</v>
      </c>
      <c r="C25" s="13" t="n">
        <v>1100</v>
      </c>
      <c r="D25" s="14">
        <f>B25*C25</f>
        <v/>
      </c>
      <c r="E25" s="16" t="n">
        <v>0</v>
      </c>
      <c r="F25" s="17">
        <f>E25/C25</f>
        <v/>
      </c>
    </row>
    <row r="26">
      <c r="A26" t="inlineStr">
        <is>
          <t>3 Bed / 2 Bath</t>
        </is>
      </c>
      <c r="B26" s="13" t="n">
        <v>20</v>
      </c>
      <c r="C26" s="13" t="n">
        <v>1400</v>
      </c>
      <c r="D26" s="14">
        <f>B26*C26</f>
        <v/>
      </c>
      <c r="E26" s="16" t="n">
        <v>0</v>
      </c>
      <c r="F26" s="17">
        <f>E26/C26</f>
        <v/>
      </c>
    </row>
    <row r="28">
      <c r="A28" s="3" t="inlineStr">
        <is>
          <t>Total Units</t>
        </is>
      </c>
      <c r="B28" s="18">
        <f>SUM(B24:B27)</f>
        <v/>
      </c>
    </row>
    <row r="30">
      <c r="A30" s="2" t="inlineStr">
        <is>
          <t>ACQUISITION COSTS</t>
        </is>
      </c>
    </row>
    <row r="31">
      <c r="A31" s="3" t="inlineStr">
        <is>
          <t>Purchase Price</t>
        </is>
      </c>
      <c r="B31" s="16" t="n">
        <v>25000000</v>
      </c>
    </row>
    <row r="32">
      <c r="A32" s="3" t="inlineStr">
        <is>
          <t>Due Diligence &amp; Inspection</t>
        </is>
      </c>
      <c r="B32" s="16" t="n">
        <v>50000</v>
      </c>
    </row>
    <row r="33">
      <c r="A33" s="3" t="inlineStr">
        <is>
          <t>Legal &amp; Title</t>
        </is>
      </c>
      <c r="B33" s="16" t="n">
        <v>75000</v>
      </c>
    </row>
    <row r="34">
      <c r="A34" s="3" t="inlineStr">
        <is>
          <t>Brokerage Fee (% of Price)</t>
        </is>
      </c>
      <c r="B34" s="15" t="n">
        <v>0.015</v>
      </c>
    </row>
    <row r="35">
      <c r="A35" s="3" t="inlineStr">
        <is>
          <t>Loan Origination Fee (% of Loan)</t>
        </is>
      </c>
      <c r="B35" s="15" t="n">
        <v>0.01</v>
      </c>
    </row>
    <row r="36">
      <c r="A36" s="3" t="inlineStr">
        <is>
          <t>Other Closing Costs</t>
        </is>
      </c>
      <c r="B36" s="16" t="n">
        <v>50000</v>
      </c>
    </row>
    <row r="38">
      <c r="A38" s="3" t="inlineStr">
        <is>
          <t>Total Acquisition Cost</t>
        </is>
      </c>
      <c r="B38" s="5">
        <f>B31+B32+B33+B31*B34+B35+B36</f>
        <v/>
      </c>
    </row>
    <row r="40">
      <c r="A40" s="2" t="inlineStr">
        <is>
          <t>FINANCING ASSUMPTIONS</t>
        </is>
      </c>
    </row>
    <row r="41">
      <c r="A41" s="3" t="inlineStr">
        <is>
          <t>Loan-to-Value (LTV)</t>
        </is>
      </c>
      <c r="B41" s="15" t="n">
        <v>0.7</v>
      </c>
    </row>
    <row r="42">
      <c r="A42" s="3" t="inlineStr">
        <is>
          <t>Interest Rate (Annual)</t>
        </is>
      </c>
      <c r="B42" s="15" t="n">
        <v>0.055</v>
      </c>
    </row>
    <row r="43">
      <c r="A43" s="3" t="inlineStr">
        <is>
          <t>Amortization Period (Years)</t>
        </is>
      </c>
      <c r="B43" s="19" t="n">
        <v>30</v>
      </c>
    </row>
    <row r="44">
      <c r="A44" s="3" t="inlineStr">
        <is>
          <t>IO Period (Years)</t>
        </is>
      </c>
      <c r="B44" s="19" t="n">
        <v>0</v>
      </c>
    </row>
    <row r="45">
      <c r="A45" s="3" t="inlineStr">
        <is>
          <t>Loan Term (Years)</t>
        </is>
      </c>
      <c r="B45" s="19" t="n">
        <v>10</v>
      </c>
    </row>
    <row r="48">
      <c r="A48" s="2" t="inlineStr">
        <is>
          <t>OPERATING ASSUMPTIONS</t>
        </is>
      </c>
    </row>
    <row r="49">
      <c r="A49" s="3" t="inlineStr">
        <is>
          <t>Annual Rent Growth</t>
        </is>
      </c>
      <c r="B49" s="15" t="n">
        <v>0.04</v>
      </c>
    </row>
    <row r="50">
      <c r="A50" s="3" t="inlineStr">
        <is>
          <t>Annual Expense Growth</t>
        </is>
      </c>
      <c r="B50" s="15" t="n">
        <v>0.03</v>
      </c>
    </row>
    <row r="51">
      <c r="A51" s="3" t="inlineStr">
        <is>
          <t>Property Taxes (% of Value)</t>
        </is>
      </c>
      <c r="B51" s="15" t="n">
        <v>0.0125</v>
      </c>
    </row>
    <row r="52">
      <c r="A52" s="3" t="inlineStr">
        <is>
          <t>Insurance (% of Value)</t>
        </is>
      </c>
      <c r="B52" s="15" t="n">
        <v>0.0035</v>
      </c>
    </row>
    <row r="53">
      <c r="A53" s="3" t="inlineStr">
        <is>
          <t>Property Management Fee (% EGI)</t>
        </is>
      </c>
      <c r="B53" s="15" t="n">
        <v>0.04</v>
      </c>
    </row>
    <row r="54">
      <c r="A54" s="3" t="inlineStr">
        <is>
          <t>Repairs &amp; Maintenance ($/Unit)</t>
        </is>
      </c>
      <c r="B54" s="16" t="n">
        <v>400</v>
      </c>
    </row>
    <row r="55">
      <c r="A55" s="3" t="inlineStr">
        <is>
          <t>Utilities ($/Unit)</t>
        </is>
      </c>
      <c r="B55" s="16" t="n">
        <v>150</v>
      </c>
    </row>
    <row r="56">
      <c r="A56" s="3" t="inlineStr">
        <is>
          <t>Marketing &amp; Leasing ($/Unit)</t>
        </is>
      </c>
      <c r="B56" s="16" t="n">
        <v>200</v>
      </c>
    </row>
    <row r="57">
      <c r="A57" s="3" t="inlineStr">
        <is>
          <t>Administrative ($/Unit)</t>
        </is>
      </c>
      <c r="B57" s="16" t="n">
        <v>100</v>
      </c>
    </row>
    <row r="59">
      <c r="A59" s="3" t="inlineStr">
        <is>
          <t>Capital Expenditures (% EGI)</t>
        </is>
      </c>
      <c r="B59" s="15" t="n">
        <v>0.05</v>
      </c>
    </row>
    <row r="60">
      <c r="A60" s="3" t="inlineStr">
        <is>
          <t>Leasing Costs (% EGI)</t>
        </is>
      </c>
      <c r="B60" s="15" t="n">
        <v>0.02</v>
      </c>
    </row>
    <row r="62">
      <c r="A62" s="2" t="inlineStr">
        <is>
          <t>EXIT ASSUMPTIONS</t>
        </is>
      </c>
    </row>
    <row r="63">
      <c r="A63" s="3" t="inlineStr">
        <is>
          <t>Exit Cap Rate</t>
        </is>
      </c>
      <c r="B63" s="15" t="n">
        <v>0.055</v>
      </c>
    </row>
    <row r="64">
      <c r="A64" s="3" t="inlineStr">
        <is>
          <t>Selling Costs (% of Sale Price)</t>
        </is>
      </c>
      <c r="B64" s="15" t="n">
        <v>0.02</v>
      </c>
    </row>
    <row r="65">
      <c r="A65" s="3" t="inlineStr">
        <is>
          <t>Exit Year</t>
        </is>
      </c>
      <c r="B65" s="20">
        <f>B10</f>
        <v/>
      </c>
    </row>
  </sheetData>
  <mergeCells count="8">
    <mergeCell ref="A4:H4"/>
    <mergeCell ref="A62:H62"/>
    <mergeCell ref="A48:H48"/>
    <mergeCell ref="A21:H21"/>
    <mergeCell ref="A30:H30"/>
    <mergeCell ref="A2:H2"/>
    <mergeCell ref="A1:H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PROPERTY PRO FORMA</t>
        </is>
      </c>
    </row>
    <row r="3">
      <c r="A3" s="10" t="inlineStr">
        <is>
          <t>Line Item</t>
        </is>
      </c>
      <c r="B3" s="10" t="inlineStr">
        <is>
          <t>Year 0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2" t="inlineStr">
        <is>
          <t>RENTAL INCOME</t>
        </is>
      </c>
    </row>
    <row r="5">
      <c r="A5" s="3" t="inlineStr">
        <is>
          <t>Gross Potential Rent</t>
        </is>
      </c>
      <c r="B5" s="21" t="n">
        <v>0</v>
      </c>
      <c r="C5" s="21">
        <f>B5*(1+Inputs!B76)</f>
        <v/>
      </c>
      <c r="D5" s="21">
        <f>C5*(1+Inputs!B76)</f>
        <v/>
      </c>
      <c r="E5" s="21">
        <f>D5*(1+Inputs!B76)</f>
        <v/>
      </c>
      <c r="F5" s="21">
        <f>E5*(1+Inputs!B76)</f>
        <v/>
      </c>
      <c r="G5" s="21">
        <f>F5*(1+Inputs!B76)</f>
        <v/>
      </c>
    </row>
    <row r="6">
      <c r="A6" s="3" t="inlineStr">
        <is>
          <t>Other Income (parking, laundry, etc.)</t>
        </is>
      </c>
      <c r="B6" s="21">
        <f>B5*0.05</f>
        <v/>
      </c>
      <c r="C6" s="21">
        <f>B6*(1+Inputs!B76)</f>
        <v/>
      </c>
      <c r="D6" s="21">
        <f>C6*(1+Inputs!B76)</f>
        <v/>
      </c>
      <c r="E6" s="21">
        <f>D6*(1+Inputs!B76)</f>
        <v/>
      </c>
      <c r="F6" s="21">
        <f>E6*(1+Inputs!B76)</f>
        <v/>
      </c>
      <c r="G6" s="21">
        <f>F6*(1+Inputs!B76)</f>
        <v/>
      </c>
    </row>
    <row r="7">
      <c r="A7" s="3" t="inlineStr">
        <is>
          <t>Gross Potential Income</t>
        </is>
      </c>
      <c r="B7" s="5">
        <f>SUM(B5:B6)</f>
        <v/>
      </c>
      <c r="C7" s="5">
        <f>SUM(C5:C6)</f>
        <v/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  <c r="H7" s="5">
        <f>SUM(H5:H6)</f>
        <v/>
      </c>
    </row>
    <row r="8">
      <c r="A8" s="3" t="inlineStr">
        <is>
          <t>Less: Vacancy &amp; Credit Loss</t>
        </is>
      </c>
      <c r="B8" s="23">
        <f>B7*(1-Inputs!B18)</f>
        <v/>
      </c>
      <c r="C8" s="23">
        <f>C7*(1-Inputs!B19)</f>
        <v/>
      </c>
      <c r="D8" s="23">
        <f>D7*(1-Inputs!B19)</f>
        <v/>
      </c>
      <c r="E8" s="23">
        <f>E7*(1-Inputs!B19)</f>
        <v/>
      </c>
      <c r="F8" s="23">
        <f>F7*(1-Inputs!B19)</f>
        <v/>
      </c>
      <c r="G8" s="23">
        <f>G7*(1-Inputs!B19)</f>
        <v/>
      </c>
    </row>
    <row r="9">
      <c r="A9" s="3" t="inlineStr">
        <is>
          <t>Effective Gross Income (EGI)</t>
        </is>
      </c>
      <c r="B9" s="5">
        <f>B7+B8</f>
        <v/>
      </c>
      <c r="C9" s="5">
        <f>C7+C8</f>
        <v/>
      </c>
      <c r="D9" s="5">
        <f>D7+D8</f>
        <v/>
      </c>
      <c r="E9" s="5">
        <f>E7+E8</f>
        <v/>
      </c>
      <c r="F9" s="5">
        <f>F7+F8</f>
        <v/>
      </c>
      <c r="G9" s="5">
        <f>G7+G8</f>
        <v/>
      </c>
      <c r="H9" s="5">
        <f>H7+H8</f>
        <v/>
      </c>
    </row>
    <row r="11">
      <c r="A11" s="2" t="inlineStr">
        <is>
          <t>OPERATING EXPENSES</t>
        </is>
      </c>
    </row>
    <row r="12">
      <c r="A12" s="3" t="inlineStr">
        <is>
          <t>Property Taxes</t>
        </is>
      </c>
      <c r="B12" s="21" t="n">
        <v>0</v>
      </c>
      <c r="C12" s="21">
        <f>B12*(1+Inputs!B76)</f>
        <v/>
      </c>
      <c r="D12" s="21">
        <f>C12*(1+Inputs!B76)</f>
        <v/>
      </c>
      <c r="E12" s="21">
        <f>D12*(1+Inputs!B76)</f>
        <v/>
      </c>
      <c r="F12" s="21">
        <f>E12*(1+Inputs!B76)</f>
        <v/>
      </c>
      <c r="G12" s="21">
        <f>F12*(1+Inputs!B76)</f>
        <v/>
      </c>
    </row>
    <row r="13">
      <c r="A13" s="3" t="inlineStr">
        <is>
          <t>Insurance</t>
        </is>
      </c>
      <c r="B13" s="21" t="n">
        <v>0</v>
      </c>
      <c r="C13" s="21">
        <f>B13*(1+Inputs!B76)</f>
        <v/>
      </c>
      <c r="D13" s="21">
        <f>C13*(1+Inputs!B76)</f>
        <v/>
      </c>
      <c r="E13" s="21">
        <f>D13*(1+Inputs!B76)</f>
        <v/>
      </c>
      <c r="F13" s="21">
        <f>E13*(1+Inputs!B76)</f>
        <v/>
      </c>
      <c r="G13" s="21">
        <f>F13*(1+Inputs!B76)</f>
        <v/>
      </c>
    </row>
    <row r="14">
      <c r="A14" s="3" t="inlineStr">
        <is>
          <t>Property Management</t>
        </is>
      </c>
      <c r="B14" s="21" t="n">
        <v>0</v>
      </c>
      <c r="C14" s="21">
        <f>B14*(1+Inputs!B77)</f>
        <v/>
      </c>
      <c r="D14" s="21">
        <f>C14*(1+Inputs!B77)</f>
        <v/>
      </c>
      <c r="E14" s="21">
        <f>D14*(1+Inputs!B77)</f>
        <v/>
      </c>
      <c r="F14" s="21">
        <f>E14*(1+Inputs!B77)</f>
        <v/>
      </c>
      <c r="G14" s="21">
        <f>F14*(1+Inputs!B77)</f>
        <v/>
      </c>
    </row>
    <row r="15">
      <c r="A15" s="3" t="inlineStr">
        <is>
          <t>Repairs &amp; Maintenance</t>
        </is>
      </c>
      <c r="B15" s="21" t="n">
        <v>0</v>
      </c>
      <c r="C15" s="21">
        <f>B15*(1+Inputs!B77)</f>
        <v/>
      </c>
      <c r="D15" s="21">
        <f>C15*(1+Inputs!B77)</f>
        <v/>
      </c>
      <c r="E15" s="21">
        <f>D15*(1+Inputs!B77)</f>
        <v/>
      </c>
      <c r="F15" s="21">
        <f>E15*(1+Inputs!B77)</f>
        <v/>
      </c>
      <c r="G15" s="21">
        <f>F15*(1+Inputs!B77)</f>
        <v/>
      </c>
    </row>
    <row r="16">
      <c r="A16" s="3" t="inlineStr">
        <is>
          <t>Utilities</t>
        </is>
      </c>
      <c r="B16" s="21" t="n">
        <v>0</v>
      </c>
      <c r="C16" s="21">
        <f>B16*(1+Inputs!B77)</f>
        <v/>
      </c>
      <c r="D16" s="21">
        <f>C16*(1+Inputs!B77)</f>
        <v/>
      </c>
      <c r="E16" s="21">
        <f>D16*(1+Inputs!B77)</f>
        <v/>
      </c>
      <c r="F16" s="21">
        <f>E16*(1+Inputs!B77)</f>
        <v/>
      </c>
      <c r="G16" s="21">
        <f>F16*(1+Inputs!B77)</f>
        <v/>
      </c>
    </row>
    <row r="17">
      <c r="A17" s="3" t="inlineStr">
        <is>
          <t>Marketing &amp; Leasing</t>
        </is>
      </c>
      <c r="B17" s="21" t="n">
        <v>0</v>
      </c>
      <c r="C17" s="21">
        <f>B17*(1+Inputs!B77)</f>
        <v/>
      </c>
      <c r="D17" s="21">
        <f>C17*(1+Inputs!B77)</f>
        <v/>
      </c>
      <c r="E17" s="21">
        <f>D17*(1+Inputs!B77)</f>
        <v/>
      </c>
      <c r="F17" s="21">
        <f>E17*(1+Inputs!B77)</f>
        <v/>
      </c>
      <c r="G17" s="21">
        <f>F17*(1+Inputs!B77)</f>
        <v/>
      </c>
    </row>
    <row r="18">
      <c r="A18" s="3" t="inlineStr">
        <is>
          <t>Administrative</t>
        </is>
      </c>
      <c r="B18" s="21" t="n">
        <v>0</v>
      </c>
      <c r="C18" s="21">
        <f>B18*(1+Inputs!B77)</f>
        <v/>
      </c>
      <c r="D18" s="21">
        <f>C18*(1+Inputs!B77)</f>
        <v/>
      </c>
      <c r="E18" s="21">
        <f>D18*(1+Inputs!B77)</f>
        <v/>
      </c>
      <c r="F18" s="21">
        <f>E18*(1+Inputs!B77)</f>
        <v/>
      </c>
      <c r="G18" s="21">
        <f>F18*(1+Inputs!B77)</f>
        <v/>
      </c>
    </row>
    <row r="19">
      <c r="A19" s="3" t="inlineStr">
        <is>
          <t>Total Operating Expenses</t>
        </is>
      </c>
      <c r="B19" s="5">
        <f>SUM(B12:B18)</f>
        <v/>
      </c>
      <c r="C19" s="5">
        <f>SUM(C12:C18)</f>
        <v/>
      </c>
      <c r="D19" s="5">
        <f>SUM(D12:D18)</f>
        <v/>
      </c>
      <c r="E19" s="5">
        <f>SUM(E12:E18)</f>
        <v/>
      </c>
      <c r="F19" s="5">
        <f>SUM(F12:F18)</f>
        <v/>
      </c>
      <c r="G19" s="5">
        <f>SUM(G12:G18)</f>
        <v/>
      </c>
      <c r="H19" s="5">
        <f>SUM(H12:H18)</f>
        <v/>
      </c>
    </row>
    <row r="21">
      <c r="A21" s="3" t="inlineStr">
        <is>
          <t>NET OPERATING INCOME (NOI)</t>
        </is>
      </c>
      <c r="B21" s="5">
        <f>B9-B20</f>
        <v/>
      </c>
      <c r="C21" s="5">
        <f>C9-C20</f>
        <v/>
      </c>
      <c r="D21" s="5">
        <f>D9-D20</f>
        <v/>
      </c>
      <c r="E21" s="5">
        <f>E9-E20</f>
        <v/>
      </c>
      <c r="F21" s="5">
        <f>F9-F20</f>
        <v/>
      </c>
      <c r="G21" s="5">
        <f>G9-G20</f>
        <v/>
      </c>
      <c r="H21" s="5">
        <f>H9-H20</f>
        <v/>
      </c>
    </row>
    <row r="23">
      <c r="A23" s="3" t="inlineStr">
        <is>
          <t>Capital Expenditures</t>
        </is>
      </c>
      <c r="B23" s="21" t="n">
        <v>0</v>
      </c>
      <c r="C23" s="21">
        <f>C9*Inputs!B86</f>
        <v/>
      </c>
      <c r="D23" s="21">
        <f>D9*Inputs!B86</f>
        <v/>
      </c>
      <c r="E23" s="21">
        <f>E9*Inputs!B86</f>
        <v/>
      </c>
      <c r="F23" s="21">
        <f>F9*Inputs!B86</f>
        <v/>
      </c>
      <c r="G23" s="21">
        <f>G9*Inputs!B86</f>
        <v/>
      </c>
      <c r="H23" s="21">
        <f>H9*Inputs!B86</f>
        <v/>
      </c>
    </row>
    <row r="24">
      <c r="A24" s="3" t="inlineStr">
        <is>
          <t>Leasing Costs</t>
        </is>
      </c>
      <c r="B24" s="21" t="n">
        <v>0</v>
      </c>
      <c r="C24" s="21">
        <f>C9*Inputs!B87</f>
        <v/>
      </c>
      <c r="D24" s="21">
        <f>D9*Inputs!B87</f>
        <v/>
      </c>
      <c r="E24" s="21">
        <f>E9*Inputs!B87</f>
        <v/>
      </c>
      <c r="F24" s="21">
        <f>F9*Inputs!B87</f>
        <v/>
      </c>
      <c r="G24" s="21">
        <f>G9*Inputs!B87</f>
        <v/>
      </c>
      <c r="H24" s="21">
        <f>H9*Inputs!B87</f>
        <v/>
      </c>
    </row>
    <row r="25">
      <c r="A25" s="3" t="inlineStr">
        <is>
          <t>Total Capital Items</t>
        </is>
      </c>
      <c r="B25" s="5">
        <f>SUM(B23:B24)</f>
        <v/>
      </c>
      <c r="C25" s="5">
        <f>SUM(C23:C24)</f>
        <v/>
      </c>
      <c r="D25" s="5">
        <f>SUM(D23:D24)</f>
        <v/>
      </c>
      <c r="E25" s="5">
        <f>SUM(E23:E24)</f>
        <v/>
      </c>
      <c r="F25" s="5">
        <f>SUM(F23:F24)</f>
        <v/>
      </c>
      <c r="G25" s="5">
        <f>SUM(G23:G24)</f>
        <v/>
      </c>
      <c r="H25" s="5">
        <f>SUM(H23:H24)</f>
        <v/>
      </c>
    </row>
    <row r="27">
      <c r="A27" s="3" t="inlineStr">
        <is>
          <t>CASH FLOW FROM OPERATIONS</t>
        </is>
      </c>
      <c r="B27" s="5">
        <f>B18-B26</f>
        <v/>
      </c>
      <c r="C27" s="5">
        <f>C18-C26</f>
        <v/>
      </c>
      <c r="D27" s="5">
        <f>D18-D26</f>
        <v/>
      </c>
      <c r="E27" s="5">
        <f>E18-E26</f>
        <v/>
      </c>
      <c r="F27" s="5">
        <f>F18-F26</f>
        <v/>
      </c>
      <c r="G27" s="5">
        <f>G18-G26</f>
        <v/>
      </c>
      <c r="H27" s="5">
        <f>H18-H26</f>
        <v/>
      </c>
    </row>
    <row r="29">
      <c r="A29" s="2" t="inlineStr">
        <is>
          <t>DEBT SERVICE</t>
        </is>
      </c>
    </row>
    <row r="30">
      <c r="A30" s="3" t="inlineStr">
        <is>
          <t>Debt Service (P+I)</t>
        </is>
      </c>
      <c r="B30" s="21" t="n">
        <v>0</v>
      </c>
      <c r="C30" s="21">
        <f>CashFlow!C10</f>
        <v/>
      </c>
      <c r="D30" s="21">
        <f>CashFlow!C10</f>
        <v/>
      </c>
      <c r="E30" s="21">
        <f>CashFlow!C10</f>
        <v/>
      </c>
      <c r="F30" s="21">
        <f>CashFlow!C10</f>
        <v/>
      </c>
      <c r="G30" s="21">
        <f>CashFlow!C10</f>
        <v/>
      </c>
      <c r="H30" s="21">
        <f>CashFlow!C10</f>
        <v/>
      </c>
    </row>
    <row r="32">
      <c r="A32" s="3" t="inlineStr">
        <is>
          <t>CASH FLOW BEFORE TAX</t>
        </is>
      </c>
      <c r="B32" s="5">
        <f>B27-B31</f>
        <v/>
      </c>
      <c r="C32" s="5">
        <f>C27-C31</f>
        <v/>
      </c>
      <c r="D32" s="5">
        <f>D27-D31</f>
        <v/>
      </c>
      <c r="E32" s="5">
        <f>E27-E31</f>
        <v/>
      </c>
      <c r="F32" s="5">
        <f>F27-F31</f>
        <v/>
      </c>
      <c r="G32" s="5">
        <f>G27-G31</f>
        <v/>
      </c>
      <c r="H32" s="5">
        <f>H27-H31</f>
        <v/>
      </c>
    </row>
    <row r="34">
      <c r="A34" s="2" t="inlineStr">
        <is>
          <t>PERFORMANCE METRICS</t>
        </is>
      </c>
    </row>
    <row r="35">
      <c r="A35" s="3" t="inlineStr">
        <is>
          <t>NOI Margin %</t>
        </is>
      </c>
      <c r="B35" s="22" t="n">
        <v>0</v>
      </c>
      <c r="C35" s="22">
        <f>C18/C9</f>
        <v/>
      </c>
      <c r="D35" s="22">
        <f>D18/D9</f>
        <v/>
      </c>
      <c r="E35" s="22">
        <f>E18/E9</f>
        <v/>
      </c>
      <c r="F35" s="22">
        <f>F18/F9</f>
        <v/>
      </c>
      <c r="G35" s="22">
        <f>G18/G9</f>
        <v/>
      </c>
      <c r="H35" s="22">
        <f>H18/H9</f>
        <v/>
      </c>
    </row>
    <row r="36">
      <c r="A36" s="3" t="inlineStr">
        <is>
          <t>Operating Expense Ratio</t>
        </is>
      </c>
      <c r="B36" s="22" t="n">
        <v>0</v>
      </c>
      <c r="C36" s="22">
        <f>C16/C9</f>
        <v/>
      </c>
      <c r="D36" s="22">
        <f>D16/D9</f>
        <v/>
      </c>
      <c r="E36" s="22">
        <f>E16/E9</f>
        <v/>
      </c>
      <c r="F36" s="22">
        <f>F16/F9</f>
        <v/>
      </c>
      <c r="G36" s="22">
        <f>G16/G9</f>
        <v/>
      </c>
      <c r="H36" s="22">
        <f>H16/H9</f>
        <v/>
      </c>
    </row>
    <row r="37">
      <c r="A37" s="3" t="inlineStr">
        <is>
          <t>Debt Service Coverage Ratio</t>
        </is>
      </c>
      <c r="B37" s="24" t="n">
        <v>0</v>
      </c>
      <c r="C37" s="24">
        <f>C18/C29</f>
        <v/>
      </c>
      <c r="D37" s="24">
        <f>D18/D29</f>
        <v/>
      </c>
      <c r="E37" s="24">
        <f>E18/E29</f>
        <v/>
      </c>
      <c r="F37" s="24">
        <f>F18/F29</f>
        <v/>
      </c>
      <c r="G37" s="24">
        <f>G18/G29</f>
        <v/>
      </c>
      <c r="H37" s="24">
        <f>H18/H29</f>
        <v/>
      </c>
    </row>
    <row r="39">
      <c r="A39" s="2" t="inlineStr">
        <is>
          <t>EXIT VALUE CALCULATION</t>
        </is>
      </c>
    </row>
    <row r="40">
      <c r="A40" s="3" t="inlineStr">
        <is>
          <t>Exit Year NOI</t>
        </is>
      </c>
      <c r="G40" s="21">
        <f>G18</f>
        <v/>
      </c>
    </row>
    <row r="41">
      <c r="A41" s="3" t="inlineStr">
        <is>
          <t>Exit Cap Rate</t>
        </is>
      </c>
      <c r="G41" s="22">
        <f>Inputs!B93</f>
        <v/>
      </c>
    </row>
    <row r="42">
      <c r="A42" s="3" t="inlineStr">
        <is>
          <t>Gross Exit Value</t>
        </is>
      </c>
      <c r="G42" s="21">
        <f>G40/G41</f>
        <v/>
      </c>
    </row>
    <row r="43">
      <c r="A43" s="3" t="inlineStr">
        <is>
          <t>Less: Selling Costs</t>
        </is>
      </c>
      <c r="G43" s="23">
        <f>G42*Inputs!B94</f>
        <v/>
      </c>
    </row>
    <row r="44">
      <c r="A44" s="3" t="inlineStr">
        <is>
          <t>Net Exit Value</t>
        </is>
      </c>
      <c r="G44" s="5">
        <f>G42-G43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CASH FLOW ANALYSIS</t>
        </is>
      </c>
    </row>
    <row r="3">
      <c r="A3" s="10" t="inlineStr">
        <is>
          <t>Line Item</t>
        </is>
      </c>
      <c r="B3" s="10" t="inlineStr">
        <is>
          <t>Year 0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2" t="inlineStr">
        <is>
          <t>ACQUISITION / FINANCING</t>
        </is>
      </c>
    </row>
    <row r="5">
      <c r="A5" s="3" t="inlineStr">
        <is>
          <t>Total Acquisition Cost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</row>
    <row r="6">
      <c r="A6" s="3" t="inlineStr">
        <is>
          <t>Loan Amount</t>
        </is>
      </c>
      <c r="B6" s="21">
        <f>Inputs!B54*Inputs!B65</f>
        <v/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</row>
    <row r="7">
      <c r="A7" s="3" t="inlineStr">
        <is>
          <t>Equity Investment</t>
        </is>
      </c>
      <c r="B7" s="25">
        <f>B5-B6</f>
        <v/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</row>
    <row r="9">
      <c r="A9" s="2" t="inlineStr">
        <is>
          <t>DEBT SERVICE</t>
        </is>
      </c>
    </row>
    <row r="10">
      <c r="A10" s="3" t="inlineStr">
        <is>
          <t>Annual Debt Service</t>
        </is>
      </c>
      <c r="B10" s="21" t="n">
        <v>0</v>
      </c>
      <c r="C10" s="23">
        <f>-PMT(Inputs!B66/12,Inputs!B67*12,B6)*12</f>
        <v/>
      </c>
      <c r="D10" s="23">
        <f>-PMT(Inputs!B66/12,Inputs!B67*12,B6)*12</f>
        <v/>
      </c>
      <c r="E10" s="23">
        <f>-PMT(Inputs!B66/12,Inputs!B67*12,B6)*12</f>
        <v/>
      </c>
      <c r="F10" s="23">
        <f>-PMT(Inputs!B66/12,Inputs!B67*12,B6)*12</f>
        <v/>
      </c>
      <c r="G10" s="23">
        <f>-PMT(Inputs!B66/12,Inputs!B67*12,B6)*12</f>
        <v/>
      </c>
    </row>
    <row r="12">
      <c r="A12" s="2" t="inlineStr">
        <is>
          <t>OPERATING CASH FLOW</t>
        </is>
      </c>
    </row>
    <row r="13">
      <c r="A13" s="3" t="inlineStr">
        <is>
          <t>Net Operating Income</t>
        </is>
      </c>
      <c r="B13" s="21">
        <f>ProForma!B18</f>
        <v/>
      </c>
      <c r="C13" s="21">
        <f>ProForma!C18</f>
        <v/>
      </c>
      <c r="D13" s="21">
        <f>ProForma!D18</f>
        <v/>
      </c>
      <c r="E13" s="21">
        <f>ProForma!E18</f>
        <v/>
      </c>
      <c r="F13" s="21">
        <f>ProForma!F18</f>
        <v/>
      </c>
      <c r="G13" s="21">
        <f>ProForma!G18</f>
        <v/>
      </c>
      <c r="H13" s="21">
        <f>ProForma!H18</f>
        <v/>
      </c>
    </row>
    <row r="14">
      <c r="A14" s="3" t="inlineStr">
        <is>
          <t>Less: Capital Items</t>
        </is>
      </c>
      <c r="B14" s="23">
        <f>ProForma!B22</f>
        <v/>
      </c>
      <c r="C14" s="23">
        <f>ProForma!C22</f>
        <v/>
      </c>
      <c r="D14" s="23">
        <f>ProForma!D22</f>
        <v/>
      </c>
      <c r="E14" s="23">
        <f>ProForma!E22</f>
        <v/>
      </c>
      <c r="F14" s="23">
        <f>ProForma!F22</f>
        <v/>
      </c>
      <c r="G14" s="23">
        <f>ProForma!G22</f>
        <v/>
      </c>
      <c r="H14" s="23">
        <f>ProForma!H22</f>
        <v/>
      </c>
    </row>
    <row r="15">
      <c r="A15" s="3" t="inlineStr">
        <is>
          <t>Less: Debt Service</t>
        </is>
      </c>
      <c r="B15" s="23">
        <f>B10</f>
        <v/>
      </c>
      <c r="C15" s="23">
        <f>C10</f>
        <v/>
      </c>
      <c r="D15" s="23">
        <f>D10</f>
        <v/>
      </c>
      <c r="E15" s="23">
        <f>E10</f>
        <v/>
      </c>
      <c r="F15" s="23">
        <f>F10</f>
        <v/>
      </c>
      <c r="G15" s="23">
        <f>G10</f>
        <v/>
      </c>
      <c r="H15" s="23">
        <f>H10</f>
        <v/>
      </c>
    </row>
    <row r="16">
      <c r="A16" s="3" t="inlineStr">
        <is>
          <t>Cash Flow Before Tax</t>
        </is>
      </c>
      <c r="B16" s="5">
        <f>B13+B14+B15</f>
        <v/>
      </c>
      <c r="C16" s="5">
        <f>C13+C14+C15</f>
        <v/>
      </c>
      <c r="D16" s="5">
        <f>D13+D14+D15</f>
        <v/>
      </c>
      <c r="E16" s="5">
        <f>E13+E14+E15</f>
        <v/>
      </c>
      <c r="F16" s="5">
        <f>F13+F14+F15</f>
        <v/>
      </c>
      <c r="G16" s="5">
        <f>G13+G14+G15</f>
        <v/>
      </c>
      <c r="H16" s="5">
        <f>H13+H14+H15</f>
        <v/>
      </c>
    </row>
    <row r="18">
      <c r="A18" s="2" t="inlineStr">
        <is>
          <t>EXIT PROCEEDS (Year 5 Only)</t>
        </is>
      </c>
    </row>
    <row r="19">
      <c r="A19" s="3" t="inlineStr">
        <is>
          <t>Net Exit Value</t>
        </is>
      </c>
      <c r="B19" s="21" t="n">
        <v>0</v>
      </c>
      <c r="C19" s="21" t="n">
        <v>0</v>
      </c>
      <c r="D19" s="21" t="n">
        <v>0</v>
      </c>
      <c r="E19" s="21" t="n">
        <v>0</v>
      </c>
      <c r="F19" s="21" t="n">
        <v>0</v>
      </c>
      <c r="G19" s="21">
        <f>ProForma!G48</f>
        <v/>
      </c>
    </row>
    <row r="20">
      <c r="A20" s="3" t="inlineStr">
        <is>
          <t>Less: Loan Payoff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3">
        <f>-FV(Inputs!B66/12,Inputs!B10*12,-PMT(Inputs!B66/12,Inputs!B67*12,B6),B6)</f>
        <v/>
      </c>
    </row>
    <row r="21">
      <c r="A21" s="3" t="inlineStr">
        <is>
          <t>Net Sale Proceeds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21" t="n">
        <v>0</v>
      </c>
      <c r="G21" s="5">
        <f>G19+G20</f>
        <v/>
      </c>
    </row>
    <row r="23">
      <c r="A23" s="2" t="inlineStr">
        <is>
          <t>TOTAL CASH FLOWS</t>
        </is>
      </c>
    </row>
    <row r="24">
      <c r="A24" s="3" t="inlineStr">
        <is>
          <t>Unlevered Cash Flow</t>
        </is>
      </c>
      <c r="B24" s="5">
        <f>-Inputs!B54</f>
        <v/>
      </c>
      <c r="C24" s="5">
        <f>C13</f>
        <v/>
      </c>
      <c r="D24" s="5">
        <f>D13</f>
        <v/>
      </c>
      <c r="E24" s="5">
        <f>E13</f>
        <v/>
      </c>
      <c r="F24" s="5">
        <f>F13</f>
        <v/>
      </c>
      <c r="G24" s="5">
        <f>G20+G23</f>
        <v/>
      </c>
      <c r="H24" s="5" t="n"/>
    </row>
    <row r="25">
      <c r="A25" s="3" t="inlineStr">
        <is>
          <t>Unlevered IRR</t>
        </is>
      </c>
      <c r="B25" s="7">
        <f>IRR(B24:G24)</f>
        <v/>
      </c>
    </row>
    <row r="27">
      <c r="A27" s="3" t="inlineStr">
        <is>
          <t>Levered Cash Flow</t>
        </is>
      </c>
      <c r="B27" s="5">
        <f>B8</f>
        <v/>
      </c>
      <c r="C27" s="5">
        <f>C16</f>
        <v/>
      </c>
      <c r="D27" s="5">
        <f>D16</f>
        <v/>
      </c>
      <c r="E27" s="5">
        <f>E16</f>
        <v/>
      </c>
      <c r="F27" s="5">
        <f>F16</f>
        <v/>
      </c>
      <c r="G27" s="5">
        <f>G16+G22</f>
        <v/>
      </c>
      <c r="H27" s="5" t="n"/>
    </row>
    <row r="28">
      <c r="A28" s="3" t="inlineStr">
        <is>
          <t>Levered IRR</t>
        </is>
      </c>
      <c r="B28" s="7">
        <f>IRR(B27:G27)</f>
        <v/>
      </c>
    </row>
    <row r="30">
      <c r="A30" s="3" t="inlineStr">
        <is>
          <t>Equity Multiple</t>
        </is>
      </c>
      <c r="B30" s="8">
        <f>(SUM(C28:F28)+G28)/ABS(B28)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DISCOUNTED CASH FLOW (DCF) VALUATION</t>
        </is>
      </c>
    </row>
    <row r="2">
      <c r="A2" s="29" t="inlineStr">
        <is>
          <t>Enhanced valuation with multiple discount rates and terminal value methods</t>
        </is>
      </c>
    </row>
    <row r="4">
      <c r="A4" s="2" t="inlineStr">
        <is>
          <t>DCF ASSUMPTIONS</t>
        </is>
      </c>
    </row>
    <row r="5">
      <c r="A5" s="3" t="inlineStr">
        <is>
          <t>Discount Rate (WACC)</t>
        </is>
      </c>
      <c r="B5" s="15" t="n">
        <v>0.095</v>
      </c>
    </row>
    <row r="6">
      <c r="A6" s="3" t="inlineStr">
        <is>
          <t>Terminal Growth Rate</t>
        </is>
      </c>
      <c r="B6" s="15" t="n">
        <v>0.025</v>
      </c>
    </row>
    <row r="7">
      <c r="A7" s="3" t="inlineStr">
        <is>
          <t>Terminal Cap Rate</t>
        </is>
      </c>
      <c r="B7" s="15" t="n">
        <v>0.055</v>
      </c>
    </row>
    <row r="8">
      <c r="A8" s="3" t="inlineStr">
        <is>
          <t>Valuation Method</t>
        </is>
      </c>
      <c r="B8" s="4" t="inlineStr">
        <is>
          <t>Cap Rate</t>
        </is>
      </c>
    </row>
    <row r="11">
      <c r="A11" s="2" t="inlineStr">
        <is>
          <t>CASH FLOW PROJECTION</t>
        </is>
      </c>
    </row>
    <row r="12">
      <c r="A12" s="10" t="inlineStr">
        <is>
          <t>Year</t>
        </is>
      </c>
      <c r="B12" s="10" t="n">
        <v>1</v>
      </c>
      <c r="C12" s="10" t="n">
        <v>2</v>
      </c>
      <c r="D12" s="10" t="n">
        <v>3</v>
      </c>
      <c r="E12" s="10" t="n">
        <v>4</v>
      </c>
      <c r="F12" s="10" t="n">
        <v>5</v>
      </c>
    </row>
    <row r="13">
      <c r="A13" s="3" t="inlineStr">
        <is>
          <t>Unlevered Free Cash Flow</t>
        </is>
      </c>
      <c r="B13" s="21">
        <f>ProForma!B24</f>
        <v/>
      </c>
      <c r="C13" s="21">
        <f>ProForma!C24</f>
        <v/>
      </c>
      <c r="D13" s="21">
        <f>ProForma!D24</f>
        <v/>
      </c>
      <c r="E13" s="21">
        <f>ProForma!E24</f>
        <v/>
      </c>
      <c r="F13" s="21">
        <f>ProForma!F24</f>
        <v/>
      </c>
    </row>
    <row r="14">
      <c r="A14" s="3" t="inlineStr">
        <is>
          <t>Discount Factor</t>
        </is>
      </c>
      <c r="B14" s="30">
        <f>1/((1+$B$5)^1)</f>
        <v/>
      </c>
      <c r="C14" s="30">
        <f>1/((1+$B$5)^2)</f>
        <v/>
      </c>
      <c r="D14" s="30">
        <f>1/((1+$B$5)^3)</f>
        <v/>
      </c>
      <c r="E14" s="30">
        <f>1/((1+$B$5)^4)</f>
        <v/>
      </c>
      <c r="F14" s="30">
        <f>1/((1+$B$5)^5)</f>
        <v/>
      </c>
    </row>
    <row r="15">
      <c r="A15" s="3" t="inlineStr">
        <is>
          <t>Present Value of Cash Flow</t>
        </is>
      </c>
      <c r="B15" s="21">
        <f>B13*B14</f>
        <v/>
      </c>
      <c r="C15" s="21">
        <f>C13*C14</f>
        <v/>
      </c>
      <c r="D15" s="21">
        <f>D13*D14</f>
        <v/>
      </c>
      <c r="E15" s="21">
        <f>E13*E14</f>
        <v/>
      </c>
      <c r="F15" s="21">
        <f>F13*F14</f>
        <v/>
      </c>
    </row>
    <row r="17">
      <c r="A17" s="2" t="inlineStr">
        <is>
          <t>TERMINAL VALUE CALCULATION</t>
        </is>
      </c>
    </row>
    <row r="18">
      <c r="A18" s="3" t="inlineStr">
        <is>
          <t>Year 5 NOI</t>
        </is>
      </c>
      <c r="B18" s="21">
        <f>ProForma!G18</f>
        <v/>
      </c>
    </row>
    <row r="19">
      <c r="A19" s="3" t="inlineStr">
        <is>
          <t>Terminal Cap Rate</t>
        </is>
      </c>
      <c r="B19" s="22">
        <f>B7</f>
        <v/>
      </c>
    </row>
    <row r="20">
      <c r="A20" s="3" t="inlineStr">
        <is>
          <t>Terminal Value</t>
        </is>
      </c>
      <c r="B20" s="21">
        <f>B18/B19</f>
        <v/>
      </c>
    </row>
    <row r="21">
      <c r="A21" s="3" t="inlineStr">
        <is>
          <t>PV of Terminal Value</t>
        </is>
      </c>
      <c r="B21" s="21">
        <f>B20*G14</f>
        <v/>
      </c>
    </row>
    <row r="23">
      <c r="A23" s="2" t="inlineStr">
        <is>
          <t>ENTERPRISE VALUE CALCULATION</t>
        </is>
      </c>
    </row>
    <row r="24">
      <c r="A24" s="3" t="inlineStr">
        <is>
          <t>PV of Operating Cash Flows (Years 1-5)</t>
        </is>
      </c>
      <c r="B24" s="21">
        <f>SUM(B14:F14)</f>
        <v/>
      </c>
    </row>
    <row r="25">
      <c r="A25" s="3" t="inlineStr">
        <is>
          <t>PV of Terminal Value</t>
        </is>
      </c>
      <c r="B25" s="21">
        <f>B22</f>
        <v/>
      </c>
    </row>
    <row r="26">
      <c r="A26" s="3" t="inlineStr">
        <is>
          <t>Enterprise Value</t>
        </is>
      </c>
      <c r="B26" s="5">
        <f>B24+B25</f>
        <v/>
      </c>
    </row>
    <row r="27">
      <c r="A27" s="3" t="inlineStr">
        <is>
          <t>Less: Net Debt</t>
        </is>
      </c>
      <c r="B27" s="23">
        <f>CashFlow!B6</f>
        <v/>
      </c>
    </row>
    <row r="28">
      <c r="A28" s="3" t="inlineStr">
        <is>
          <t>Equity Value</t>
        </is>
      </c>
      <c r="B28" s="5">
        <f>B26+B27</f>
        <v/>
      </c>
    </row>
    <row r="30">
      <c r="A30" s="2" t="inlineStr">
        <is>
          <t>VALUATION METRICS</t>
        </is>
      </c>
    </row>
    <row r="31">
      <c r="A31" s="3" t="inlineStr">
        <is>
          <t>Implied Value per Unit</t>
        </is>
      </c>
      <c r="B31" s="21">
        <f>B29/Inputs!B12</f>
        <v/>
      </c>
    </row>
    <row r="32">
      <c r="A32" s="3" t="inlineStr">
        <is>
          <t>Implied Value per SF</t>
        </is>
      </c>
      <c r="B32" s="17">
        <f>B29/Inputs!B14</f>
        <v/>
      </c>
    </row>
    <row r="33">
      <c r="A33" s="3" t="inlineStr">
        <is>
          <t>DCF vs. Purchase Price</t>
        </is>
      </c>
      <c r="B33" s="22">
        <f>B29/Inputs!B54-1</f>
        <v/>
      </c>
    </row>
  </sheetData>
  <mergeCells count="7">
    <mergeCell ref="A17:D17"/>
    <mergeCell ref="A23:D23"/>
    <mergeCell ref="A4:D4"/>
    <mergeCell ref="A2:H2"/>
    <mergeCell ref="A30:D30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INVESTMENT SUMMARY CALCULATIONS</t>
        </is>
      </c>
    </row>
    <row r="3">
      <c r="A3" s="2" t="inlineStr">
        <is>
          <t>KEY METRICS</t>
        </is>
      </c>
    </row>
    <row r="4">
      <c r="A4" s="3" t="inlineStr">
        <is>
          <t>Total Acquisition Cost</t>
        </is>
      </c>
      <c r="B4" s="5">
        <f>Inputs!B62</f>
        <v/>
      </c>
    </row>
    <row r="5">
      <c r="A5" s="3" t="inlineStr">
        <is>
          <t>Purchase Price per Unit</t>
        </is>
      </c>
      <c r="B5" s="5">
        <f>B5/Inputs!B12</f>
        <v/>
      </c>
    </row>
    <row r="6">
      <c r="A6" s="3" t="inlineStr">
        <is>
          <t>Purchase Price per SF</t>
        </is>
      </c>
      <c r="B6" s="5">
        <f>B5/Inputs!B14</f>
        <v/>
      </c>
    </row>
    <row r="7">
      <c r="A7" s="3" t="inlineStr">
        <is>
          <t>Entry Cap Rate</t>
        </is>
      </c>
      <c r="B7" s="7">
        <f>ProForma!C18/Inputs!B54</f>
        <v/>
      </c>
    </row>
    <row r="8">
      <c r="A8" s="3" t="inlineStr">
        <is>
          <t>Year 1 NOI</t>
        </is>
      </c>
      <c r="B8" s="5">
        <f>ProForma!C18</f>
        <v/>
      </c>
    </row>
    <row r="9">
      <c r="A9" s="3" t="inlineStr">
        <is>
          <t>Year 1 Cash-on-Cash Return</t>
        </is>
      </c>
      <c r="B9" s="5">
        <f>ProForma!C31/(B5-CashFlow!C8)</f>
        <v/>
      </c>
    </row>
    <row r="10">
      <c r="A10" s="3" t="inlineStr">
        <is>
          <t>Unlevered IRR</t>
        </is>
      </c>
      <c r="B10" s="7">
        <f>IRR(CashFlow!B28:G28)</f>
        <v/>
      </c>
    </row>
    <row r="11">
      <c r="A11" s="3" t="inlineStr">
        <is>
          <t>Levered IRR</t>
        </is>
      </c>
      <c r="B11" s="7">
        <f>IRR(CashFlow!B31:G31)</f>
        <v/>
      </c>
    </row>
    <row r="12">
      <c r="A12" s="3" t="inlineStr">
        <is>
          <t>Equity Multiple</t>
        </is>
      </c>
      <c r="B12" s="8">
        <f>(SUM(CashFlow!C31:F31)+CashFlow!G31)/(B5-CashFlow!C8)</f>
        <v/>
      </c>
    </row>
    <row r="13">
      <c r="A13" s="3" t="inlineStr">
        <is>
          <t>Exit Value</t>
        </is>
      </c>
      <c r="B13" s="5">
        <f>ProForma!G44</f>
        <v/>
      </c>
    </row>
    <row r="14">
      <c r="A14" s="3" t="inlineStr">
        <is>
          <t>Exit Cap Rate</t>
        </is>
      </c>
      <c r="B14" s="7">
        <f>Inputs!B93</f>
        <v/>
      </c>
    </row>
    <row r="15">
      <c r="A15" s="3" t="inlineStr">
        <is>
          <t>Total Return</t>
        </is>
      </c>
      <c r="B15" s="5">
        <f>B14-B5</f>
        <v/>
      </c>
    </row>
    <row r="18">
      <c r="A18" s="2" t="inlineStr">
        <is>
          <t>VALUATION METRICS</t>
        </is>
      </c>
    </row>
    <row r="19">
      <c r="A19" s="3" t="inlineStr">
        <is>
          <t>Purchase Price</t>
        </is>
      </c>
      <c r="B19" s="21">
        <f>Inputs!B54</f>
        <v/>
      </c>
    </row>
    <row r="20">
      <c r="A20" s="3" t="inlineStr">
        <is>
          <t>Stabilized Year 1 NOI</t>
        </is>
      </c>
      <c r="B20" s="21">
        <f>ProForma!C18</f>
        <v/>
      </c>
    </row>
    <row r="21">
      <c r="A21" s="3" t="inlineStr">
        <is>
          <t>Implied Entry Cap Rate</t>
        </is>
      </c>
      <c r="B21" s="22">
        <f>B23/B22</f>
        <v/>
      </c>
    </row>
    <row r="23">
      <c r="A23" s="3" t="inlineStr">
        <is>
          <t>Exit Year NOI</t>
        </is>
      </c>
      <c r="B23" s="21">
        <f>ProForma!G18</f>
        <v/>
      </c>
    </row>
    <row r="24">
      <c r="A24" s="3" t="inlineStr">
        <is>
          <t>Exit Cap Rate</t>
        </is>
      </c>
      <c r="B24" s="22">
        <f>Inputs!B93</f>
        <v/>
      </c>
    </row>
    <row r="25">
      <c r="A25" s="3" t="inlineStr">
        <is>
          <t>Gross Exit Value</t>
        </is>
      </c>
      <c r="B25" s="21">
        <f>B26/B27</f>
        <v/>
      </c>
    </row>
    <row r="26">
      <c r="A26" s="3" t="inlineStr">
        <is>
          <t>Less: Selling Costs</t>
        </is>
      </c>
      <c r="B26" s="21">
        <f>B28*Inputs!B94</f>
        <v/>
      </c>
    </row>
    <row r="27">
      <c r="A27" s="3" t="inlineStr">
        <is>
          <t>Net Exit Value</t>
        </is>
      </c>
      <c r="B27" s="21">
        <f>B28-B29</f>
        <v/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SENSITIVITY ANALYSIS</t>
        </is>
      </c>
    </row>
    <row r="2">
      <c r="A2" s="26" t="inlineStr">
        <is>
          <t>IRR Sensitivity: Exit Cap Rate vs. Annual Rent Growth</t>
        </is>
      </c>
    </row>
    <row r="4">
      <c r="A4" s="10" t="inlineStr">
        <is>
          <t>Rent Growth →</t>
        </is>
      </c>
      <c r="B4" s="27" t="n">
        <v>0.02</v>
      </c>
      <c r="C4" s="27" t="n">
        <v>0.03</v>
      </c>
      <c r="D4" s="27" t="n">
        <v>0.04</v>
      </c>
      <c r="E4" s="27" t="n">
        <v>0.05</v>
      </c>
      <c r="F4" s="27" t="n">
        <v>0.06</v>
      </c>
    </row>
    <row r="5">
      <c r="A5" s="10" t="inlineStr">
        <is>
          <t>Exit Cap ↓</t>
        </is>
      </c>
    </row>
    <row r="6">
      <c r="A6" s="27" t="n">
        <v>0.045</v>
      </c>
      <c r="B6" s="22" t="n">
        <v>0.15</v>
      </c>
      <c r="C6" s="22" t="n">
        <v>0.15</v>
      </c>
      <c r="D6" s="22" t="n">
        <v>0.15</v>
      </c>
      <c r="E6" s="22" t="n">
        <v>0.15</v>
      </c>
      <c r="F6" s="22" t="n">
        <v>0.15</v>
      </c>
    </row>
    <row r="7">
      <c r="A7" s="27" t="n">
        <v>0.05</v>
      </c>
      <c r="B7" s="22" t="n">
        <v>0.15</v>
      </c>
      <c r="C7" s="22" t="n">
        <v>0.15</v>
      </c>
      <c r="D7" s="22" t="n">
        <v>0.15</v>
      </c>
      <c r="E7" s="22" t="n">
        <v>0.15</v>
      </c>
      <c r="F7" s="22" t="n">
        <v>0.15</v>
      </c>
    </row>
    <row r="8">
      <c r="A8" s="27" t="n">
        <v>0.055</v>
      </c>
      <c r="B8" s="22" t="n">
        <v>0.15</v>
      </c>
      <c r="C8" s="22" t="n">
        <v>0.15</v>
      </c>
      <c r="D8" s="22" t="n">
        <v>0.15</v>
      </c>
      <c r="E8" s="22" t="n">
        <v>0.15</v>
      </c>
      <c r="F8" s="22" t="n">
        <v>0.15</v>
      </c>
    </row>
    <row r="9">
      <c r="A9" s="27" t="n">
        <v>0.06</v>
      </c>
      <c r="B9" s="22" t="n">
        <v>0.15</v>
      </c>
      <c r="C9" s="22" t="n">
        <v>0.15</v>
      </c>
      <c r="D9" s="22" t="n">
        <v>0.15</v>
      </c>
      <c r="E9" s="22" t="n">
        <v>0.15</v>
      </c>
      <c r="F9" s="22" t="n">
        <v>0.15</v>
      </c>
    </row>
    <row r="10">
      <c r="A10" s="27" t="n">
        <v>0.065</v>
      </c>
      <c r="B10" s="22" t="n">
        <v>0.15</v>
      </c>
      <c r="C10" s="22" t="n">
        <v>0.15</v>
      </c>
      <c r="D10" s="22" t="n">
        <v>0.15</v>
      </c>
      <c r="E10" s="22" t="n">
        <v>0.15</v>
      </c>
      <c r="F10" s="22" t="n">
        <v>0.15</v>
      </c>
    </row>
    <row r="12">
      <c r="A12" s="28" t="inlineStr">
        <is>
          <t>Note: To activate sensitivity analysis:</t>
        </is>
      </c>
    </row>
    <row r="13">
      <c r="A13" s="28" t="inlineStr">
        <is>
          <t>1. Select the range A5:F10</t>
        </is>
      </c>
    </row>
    <row r="14">
      <c r="A14" s="28" t="inlineStr">
        <is>
          <t>2. Go to Data &gt; What-If Analysis &gt; Data Table</t>
        </is>
      </c>
    </row>
    <row r="15">
      <c r="A15" s="28" t="inlineStr">
        <is>
          <t>3. Row input cell: Inputs!B76 (Rent Growth)</t>
        </is>
      </c>
    </row>
    <row r="16">
      <c r="A16" s="28" t="inlineStr">
        <is>
          <t>4. Column input cell: Inputs!B93 (Exit Cap Rate)</t>
        </is>
      </c>
    </row>
    <row r="19">
      <c r="A19" s="2" t="inlineStr">
        <is>
          <t>NET PRESENT VALUE SENSITIVITY</t>
        </is>
      </c>
    </row>
    <row r="20">
      <c r="A20" s="10" t="inlineStr">
        <is>
          <t>Discount Rate →</t>
        </is>
      </c>
      <c r="B20" s="27" t="n">
        <v>0.08</v>
      </c>
      <c r="C20" s="27" t="n">
        <v>0.1</v>
      </c>
      <c r="D20" s="27" t="n">
        <v>0.12</v>
      </c>
      <c r="E20" s="27" t="n">
        <v>0.14</v>
      </c>
      <c r="F20" s="27" t="n">
        <v>0.16</v>
      </c>
    </row>
    <row r="21">
      <c r="A21" s="10" t="inlineStr">
        <is>
          <t>Exit Cap ↓</t>
        </is>
      </c>
    </row>
    <row r="22">
      <c r="A22" s="27" t="n">
        <v>0.045</v>
      </c>
      <c r="B22" s="21" t="n">
        <v>0</v>
      </c>
      <c r="C22" s="21" t="n">
        <v>0</v>
      </c>
      <c r="D22" s="21" t="n">
        <v>0</v>
      </c>
      <c r="E22" s="21" t="n">
        <v>0</v>
      </c>
      <c r="F22" s="21" t="n">
        <v>0</v>
      </c>
    </row>
    <row r="23">
      <c r="A23" s="27" t="n">
        <v>0.05</v>
      </c>
      <c r="B23" s="21" t="n">
        <v>0</v>
      </c>
      <c r="C23" s="21" t="n">
        <v>0</v>
      </c>
      <c r="D23" s="21" t="n">
        <v>0</v>
      </c>
      <c r="E23" s="21" t="n">
        <v>0</v>
      </c>
      <c r="F23" s="21" t="n">
        <v>0</v>
      </c>
    </row>
    <row r="24">
      <c r="A24" s="27" t="n">
        <v>0.055</v>
      </c>
      <c r="B24" s="21" t="n">
        <v>0</v>
      </c>
      <c r="C24" s="21" t="n">
        <v>0</v>
      </c>
      <c r="D24" s="21" t="n">
        <v>0</v>
      </c>
      <c r="E24" s="21" t="n">
        <v>0</v>
      </c>
      <c r="F24" s="21" t="n">
        <v>0</v>
      </c>
    </row>
    <row r="25">
      <c r="A25" s="27" t="n">
        <v>0.06</v>
      </c>
      <c r="B25" s="21" t="n">
        <v>0</v>
      </c>
      <c r="C25" s="21" t="n">
        <v>0</v>
      </c>
      <c r="D25" s="21" t="n">
        <v>0</v>
      </c>
      <c r="E25" s="21" t="n">
        <v>0</v>
      </c>
      <c r="F25" s="21" t="n">
        <v>0</v>
      </c>
    </row>
    <row r="26">
      <c r="A26" s="27" t="n">
        <v>0.065</v>
      </c>
      <c r="B26" s="21" t="n">
        <v>0</v>
      </c>
      <c r="C26" s="21" t="n">
        <v>0</v>
      </c>
      <c r="D26" s="21" t="n">
        <v>0</v>
      </c>
      <c r="E26" s="21" t="n">
        <v>0</v>
      </c>
      <c r="F26" s="21" t="n">
        <v>0</v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8" customWidth="1" min="4" max="4"/>
  </cols>
  <sheetData>
    <row r="1">
      <c r="A1" s="1" t="inlineStr">
        <is>
          <t>MARKET ANALYSIS &amp; COMPARABLES</t>
        </is>
      </c>
    </row>
    <row r="2">
      <c r="A2" s="31" t="inlineStr">
        <is>
          <t>🤖 AI-POWERED: This section can be auto-populated using property valuation APIs</t>
        </is>
      </c>
    </row>
    <row r="4">
      <c r="A4" s="2" t="inlineStr">
        <is>
          <t>COMPARABLE SALES</t>
        </is>
      </c>
    </row>
    <row r="5">
      <c r="A5" s="10" t="inlineStr">
        <is>
          <t>Property Name</t>
        </is>
      </c>
      <c r="B5" s="10" t="inlineStr">
        <is>
          <t>Address</t>
        </is>
      </c>
      <c r="C5" s="10" t="inlineStr">
        <is>
          <t>Sale Date</t>
        </is>
      </c>
      <c r="D5" s="10" t="inlineStr">
        <is>
          <t>Sale Price</t>
        </is>
      </c>
      <c r="E5" s="10" t="inlineStr">
        <is>
          <t>Units</t>
        </is>
      </c>
      <c r="F5" s="10" t="inlineStr">
        <is>
          <t>$/Unit</t>
        </is>
      </c>
      <c r="G5" s="10" t="inlineStr">
        <is>
          <t>SF</t>
        </is>
      </c>
      <c r="H5" s="10" t="inlineStr">
        <is>
          <t>$/SF</t>
        </is>
      </c>
      <c r="I5" s="10" t="inlineStr">
        <is>
          <t>Cap Rate</t>
        </is>
      </c>
    </row>
    <row r="6">
      <c r="A6" s="32" t="inlineStr">
        <is>
          <t>Sunset Apartments</t>
        </is>
      </c>
      <c r="B6" s="32" t="inlineStr">
        <is>
          <t>456 Oak St</t>
        </is>
      </c>
      <c r="C6" s="32" t="inlineStr">
        <is>
          <t>2024-06-15</t>
        </is>
      </c>
      <c r="D6" s="33" t="n">
        <v>28500000</v>
      </c>
      <c r="E6" s="32" t="n">
        <v>155</v>
      </c>
      <c r="F6" s="21">
        <f>D7/E7</f>
        <v/>
      </c>
      <c r="G6" s="33" t="n">
        <v>142500</v>
      </c>
      <c r="H6" s="21">
        <f>D7/G7</f>
        <v/>
      </c>
      <c r="I6" s="34" t="n">
        <v>0.052</v>
      </c>
    </row>
    <row r="7">
      <c r="A7" s="32" t="inlineStr">
        <is>
          <t>Riverside Complex</t>
        </is>
      </c>
      <c r="B7" s="32" t="inlineStr">
        <is>
          <t>789 River Rd</t>
        </is>
      </c>
      <c r="C7" s="32" t="inlineStr">
        <is>
          <t>2024-08-20</t>
        </is>
      </c>
      <c r="D7" s="33" t="n">
        <v>31200000</v>
      </c>
      <c r="E7" s="32" t="n">
        <v>165</v>
      </c>
      <c r="F7" s="21">
        <f>D8/E8</f>
        <v/>
      </c>
      <c r="G7" s="33" t="n">
        <v>156750</v>
      </c>
      <c r="H7" s="21">
        <f>D8/G8</f>
        <v/>
      </c>
      <c r="I7" s="34" t="n">
        <v>0.048</v>
      </c>
    </row>
    <row r="8">
      <c r="A8" s="32" t="inlineStr">
        <is>
          <t>Mountain View</t>
        </is>
      </c>
      <c r="B8" s="32" t="inlineStr">
        <is>
          <t>321 Hill Ave</t>
        </is>
      </c>
      <c r="C8" s="32" t="inlineStr">
        <is>
          <t>2024-10-05</t>
        </is>
      </c>
      <c r="D8" s="33" t="n">
        <v>26800000</v>
      </c>
      <c r="E8" s="32" t="n">
        <v>145</v>
      </c>
      <c r="F8" s="21">
        <f>D9/E9</f>
        <v/>
      </c>
      <c r="G8" s="33" t="n">
        <v>137500</v>
      </c>
      <c r="H8" s="21">
        <f>D9/G9</f>
        <v/>
      </c>
      <c r="I8" s="34" t="n">
        <v>0.055</v>
      </c>
    </row>
    <row r="9">
      <c r="A9" s="32" t="inlineStr">
        <is>
          <t>Downtown Tower</t>
        </is>
      </c>
      <c r="B9" s="32" t="inlineStr">
        <is>
          <t>654 Main St</t>
        </is>
      </c>
      <c r="C9" s="32" t="inlineStr">
        <is>
          <t>2024-11-12</t>
        </is>
      </c>
      <c r="D9" s="33" t="n">
        <v>42500000</v>
      </c>
      <c r="E9" s="32" t="n">
        <v>220</v>
      </c>
      <c r="F9" s="21">
        <f>D10/E10</f>
        <v/>
      </c>
      <c r="G9" s="33" t="n">
        <v>220000</v>
      </c>
      <c r="H9" s="21">
        <f>D10/G10</f>
        <v/>
      </c>
      <c r="I9" s="34" t="n">
        <v>0.051</v>
      </c>
    </row>
    <row r="10">
      <c r="A10" s="32" t="inlineStr">
        <is>
          <t>Park Plaza</t>
        </is>
      </c>
      <c r="B10" s="32" t="inlineStr">
        <is>
          <t>987 Park Blvd</t>
        </is>
      </c>
      <c r="C10" s="32" t="inlineStr">
        <is>
          <t>2024-12-01</t>
        </is>
      </c>
      <c r="D10" s="33" t="n">
        <v>24600000</v>
      </c>
      <c r="E10" s="32" t="n">
        <v>130</v>
      </c>
      <c r="F10" s="21">
        <f>D11/E11</f>
        <v/>
      </c>
      <c r="G10" s="33" t="n">
        <v>123500</v>
      </c>
      <c r="H10" s="21">
        <f>D11/G11</f>
        <v/>
      </c>
      <c r="I10" s="34" t="n">
        <v>0.057</v>
      </c>
    </row>
    <row r="12">
      <c r="A12" s="3" t="inlineStr">
        <is>
          <t>MARKET AVERAGES</t>
        </is>
      </c>
      <c r="F12" s="5">
        <f>AVERAGE(F7:F11)</f>
        <v/>
      </c>
      <c r="H12" s="5">
        <f>AVERAGE(H7:H11)</f>
        <v/>
      </c>
      <c r="I12" s="7">
        <f>AVERAGE(I7:I11)</f>
        <v/>
      </c>
    </row>
    <row r="15">
      <c r="A15" s="2" t="inlineStr">
        <is>
          <t>SUBJECT PROPERTY vs. MARKET</t>
        </is>
      </c>
    </row>
    <row r="16">
      <c r="A16" s="3" t="inlineStr">
        <is>
          <t>Subject Property $/Unit</t>
        </is>
      </c>
      <c r="B16" s="21">
        <f>Summary!B6</f>
        <v/>
      </c>
      <c r="C16" s="3" t="inlineStr">
        <is>
          <t>Market Average $/Unit</t>
        </is>
      </c>
      <c r="D16" s="21">
        <f>F13</f>
        <v/>
      </c>
    </row>
    <row r="17">
      <c r="A17" s="3" t="inlineStr">
        <is>
          <t>Subject Property $/SF</t>
        </is>
      </c>
      <c r="B17" s="21">
        <f>Summary!B7</f>
        <v/>
      </c>
      <c r="C17" s="3" t="inlineStr">
        <is>
          <t>Market Average $/SF</t>
        </is>
      </c>
      <c r="D17" s="21">
        <f>H13</f>
        <v/>
      </c>
    </row>
    <row r="18">
      <c r="A18" s="3" t="inlineStr">
        <is>
          <t>Subject Entry Cap Rate</t>
        </is>
      </c>
      <c r="B18" s="22">
        <f>Summary!B8</f>
        <v/>
      </c>
      <c r="C18" s="3" t="inlineStr">
        <is>
          <t>Market Average Cap Rate</t>
        </is>
      </c>
      <c r="D18" s="22">
        <f>I13</f>
        <v/>
      </c>
    </row>
    <row r="19"/>
    <row r="20">
      <c r="A20" s="3" t="inlineStr">
        <is>
          <t>$/Unit Premium/(Discount)</t>
        </is>
      </c>
      <c r="B20" s="21">
        <f>B18-D18</f>
        <v/>
      </c>
      <c r="C20" s="3" t="inlineStr">
        <is>
          <t>% Difference</t>
        </is>
      </c>
      <c r="D20" s="21">
        <f>B18/D18-1</f>
        <v/>
      </c>
    </row>
    <row r="21">
      <c r="A21" s="3" t="inlineStr">
        <is>
          <t>$/SF Premium/(Discount)</t>
        </is>
      </c>
      <c r="B21" s="21">
        <f>B19-D19</f>
        <v/>
      </c>
      <c r="C21" s="3" t="inlineStr">
        <is>
          <t>% Difference</t>
        </is>
      </c>
      <c r="D21" s="21">
        <f>B19/D19-1</f>
        <v/>
      </c>
    </row>
    <row r="22">
      <c r="A22" s="3" t="inlineStr">
        <is>
          <t>Cap Rate Difference</t>
        </is>
      </c>
      <c r="B22">
        <f>B20-D20</f>
        <v/>
      </c>
      <c r="C22" s="3" t="inlineStr">
        <is>
          <t>Basis Points</t>
        </is>
      </c>
      <c r="D22" s="35">
        <f>(B20-D20)*10000</f>
        <v/>
      </c>
    </row>
    <row r="25">
      <c r="A25" s="2" t="inlineStr">
        <is>
          <t>MARKET METRICS &amp; TRENDS</t>
        </is>
      </c>
    </row>
    <row r="26">
      <c r="A26" s="36" t="inlineStr">
        <is>
          <t>🤖 AI DATA: Below metrics can be populated via HouseCanary, CoreLogic, or similar APIs</t>
        </is>
      </c>
    </row>
    <row r="27">
      <c r="A27" s="3" t="inlineStr">
        <is>
          <t>Submarket Vacancy Rate</t>
        </is>
      </c>
      <c r="B27" s="34" t="n">
        <v>0.068</v>
      </c>
    </row>
    <row r="28">
      <c r="A28" s="3" t="inlineStr">
        <is>
          <t>Submarket Avg Rent Growth (3yr)</t>
        </is>
      </c>
      <c r="B28" s="34" t="n">
        <v>0.045</v>
      </c>
    </row>
    <row r="29">
      <c r="A29" s="3" t="inlineStr">
        <is>
          <t>Submarket Avg Cap Rate</t>
        </is>
      </c>
      <c r="B29" s="34" t="n">
        <v>0.053</v>
      </c>
    </row>
    <row r="30">
      <c r="A30" s="3" t="inlineStr">
        <is>
          <t>Population Growth (5yr forecast)</t>
        </is>
      </c>
      <c r="B30" s="34" t="n">
        <v>0.028</v>
      </c>
    </row>
    <row r="31">
      <c r="A31" s="3" t="inlineStr">
        <is>
          <t>Employment Growth (5yr forecast)</t>
        </is>
      </c>
      <c r="B31" s="34" t="n">
        <v>0.032</v>
      </c>
    </row>
    <row r="32">
      <c r="A32" s="3" t="inlineStr">
        <is>
          <t>Median Household Income</t>
        </is>
      </c>
      <c r="B32" s="33" t="n">
        <v>78500</v>
      </c>
    </row>
    <row r="33">
      <c r="A33" s="3" t="inlineStr">
        <is>
          <t>Crime Rate Index (vs. national avg)</t>
        </is>
      </c>
      <c r="B33" s="34" t="n">
        <v>95</v>
      </c>
    </row>
  </sheetData>
  <mergeCells count="6">
    <mergeCell ref="A2:I2"/>
    <mergeCell ref="A26:D26"/>
    <mergeCell ref="A1:I1"/>
    <mergeCell ref="A15:D15"/>
    <mergeCell ref="A25:D25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  <col width="30" customWidth="1" min="6" max="6"/>
  </cols>
  <sheetData>
    <row r="1">
      <c r="A1" s="1" t="inlineStr">
        <is>
          <t>DEVELOPMENT / RENOVATION BUDGET</t>
        </is>
      </c>
    </row>
    <row r="2">
      <c r="A2" s="29" t="inlineStr">
        <is>
          <t>Optional: Use for ground-up development or major renovation projects</t>
        </is>
      </c>
    </row>
    <row r="4">
      <c r="A4" s="2" t="inlineStr">
        <is>
          <t>PROJECT INFORMATION</t>
        </is>
      </c>
    </row>
    <row r="5">
      <c r="A5" s="3" t="inlineStr">
        <is>
          <t>Project Type</t>
        </is>
      </c>
      <c r="B5" s="4" t="inlineStr">
        <is>
          <t>Ground-Up / Renovation / Addition</t>
        </is>
      </c>
    </row>
    <row r="6">
      <c r="A6" s="3" t="inlineStr">
        <is>
          <t>Total SF to Develop</t>
        </is>
      </c>
      <c r="B6" s="13" t="n">
        <v>145000</v>
      </c>
    </row>
    <row r="7">
      <c r="A7" s="3" t="inlineStr">
        <is>
          <t>Construction Start Date</t>
        </is>
      </c>
      <c r="B7" s="4" t="inlineStr">
        <is>
          <t>2025-Q1</t>
        </is>
      </c>
    </row>
    <row r="8">
      <c r="A8" s="3" t="inlineStr">
        <is>
          <t>Construction Duration (months)</t>
        </is>
      </c>
      <c r="B8" s="4" t="n">
        <v>18</v>
      </c>
    </row>
    <row r="9">
      <c r="A9" s="3" t="inlineStr">
        <is>
          <t>Total Development Budget</t>
        </is>
      </c>
      <c r="B9" s="16" t="n">
        <v>45000000</v>
      </c>
    </row>
    <row r="12">
      <c r="A12" s="2" t="inlineStr">
        <is>
          <t>DEVELOPMENT COSTS</t>
        </is>
      </c>
    </row>
    <row r="13">
      <c r="A13" s="37" t="inlineStr">
        <is>
          <t>Category</t>
        </is>
      </c>
      <c r="B13" s="37" t="inlineStr">
        <is>
          <t>$/SF</t>
        </is>
      </c>
      <c r="C13" s="37" t="inlineStr">
        <is>
          <t>Total SF</t>
        </is>
      </c>
      <c r="D13" s="37" t="inlineStr">
        <is>
          <t>Subtotal</t>
        </is>
      </c>
      <c r="E13" s="37" t="inlineStr">
        <is>
          <t>% of Total</t>
        </is>
      </c>
      <c r="F13" s="37" t="inlineStr">
        <is>
          <t>Notes</t>
        </is>
      </c>
    </row>
    <row r="14">
      <c r="A14" s="38" t="inlineStr">
        <is>
          <t>Land Acquisition</t>
        </is>
      </c>
      <c r="B14" s="39" t="n">
        <v>0</v>
      </c>
      <c r="C14" s="40" t="n">
        <v>0</v>
      </c>
      <c r="D14" s="33" t="n">
        <v>8500000</v>
      </c>
      <c r="E14" s="40" t="inlineStr"/>
      <c r="F14" s="40" t="inlineStr">
        <is>
          <t>Existing site</t>
        </is>
      </c>
    </row>
    <row r="15">
      <c r="A15" s="38" t="inlineStr">
        <is>
          <t>Site Work &amp; Preparation</t>
        </is>
      </c>
      <c r="B15" s="39" t="n">
        <v>15</v>
      </c>
      <c r="C15" s="32">
        <f>B7</f>
        <v/>
      </c>
      <c r="D15" s="33">
        <f>B18*C18</f>
        <v/>
      </c>
      <c r="E15" s="34">
        <f>D18/$B$9</f>
        <v/>
      </c>
      <c r="F15" s="40" t="inlineStr">
        <is>
          <t>Grading, utilities</t>
        </is>
      </c>
    </row>
    <row r="16">
      <c r="A16" s="38" t="inlineStr">
        <is>
          <t>Hard Costs - Shell</t>
        </is>
      </c>
      <c r="B16" s="39" t="n">
        <v>120</v>
      </c>
      <c r="C16" s="32">
        <f>B7</f>
        <v/>
      </c>
      <c r="D16" s="33">
        <f>B19*C19</f>
        <v/>
      </c>
      <c r="E16" s="34">
        <f>D19/$B$9</f>
        <v/>
      </c>
      <c r="F16" s="40" t="inlineStr">
        <is>
          <t>Structure, exterior</t>
        </is>
      </c>
    </row>
    <row r="17">
      <c r="A17" s="38" t="inlineStr">
        <is>
          <t>Hard Costs - Interior</t>
        </is>
      </c>
      <c r="B17" s="39" t="n">
        <v>85</v>
      </c>
      <c r="C17" s="32">
        <f>B7</f>
        <v/>
      </c>
      <c r="D17" s="33">
        <f>B20*C20</f>
        <v/>
      </c>
      <c r="E17" s="34">
        <f>D20/$B$9</f>
        <v/>
      </c>
      <c r="F17" s="40" t="inlineStr">
        <is>
          <t>TI, finishes</t>
        </is>
      </c>
    </row>
    <row r="18">
      <c r="A18" s="38" t="inlineStr">
        <is>
          <t>MEP Systems</t>
        </is>
      </c>
      <c r="B18" s="39" t="n">
        <v>45</v>
      </c>
      <c r="C18" s="32">
        <f>B7</f>
        <v/>
      </c>
      <c r="D18" s="33">
        <f>B21*C21</f>
        <v/>
      </c>
      <c r="E18" s="34">
        <f>D21/$B$9</f>
        <v/>
      </c>
      <c r="F18" s="40" t="inlineStr">
        <is>
          <t>Mechanical, electrical, plumbing</t>
        </is>
      </c>
    </row>
    <row r="19">
      <c r="A19" s="38" t="inlineStr">
        <is>
          <t>Parking Structure</t>
        </is>
      </c>
      <c r="B19" s="39" t="n">
        <v>25</v>
      </c>
      <c r="C19" s="32">
        <f>B7</f>
        <v/>
      </c>
      <c r="D19" s="33">
        <f>B22*C22</f>
        <v/>
      </c>
      <c r="E19" s="34">
        <f>D22/$B$9</f>
        <v/>
      </c>
      <c r="F19" s="40" t="inlineStr">
        <is>
          <t>Surface + structured</t>
        </is>
      </c>
    </row>
    <row r="20">
      <c r="A20" s="38" t="inlineStr">
        <is>
          <t>Landscaping &amp; Amenities</t>
        </is>
      </c>
      <c r="B20" s="39" t="n">
        <v>12</v>
      </c>
      <c r="C20" s="32">
        <f>B7</f>
        <v/>
      </c>
      <c r="D20" s="33">
        <f>B23*C23</f>
        <v/>
      </c>
      <c r="E20" s="34">
        <f>D23/$B$9</f>
        <v/>
      </c>
      <c r="F20" s="40" t="inlineStr">
        <is>
          <t>Pool, fitness, courtyards</t>
        </is>
      </c>
    </row>
    <row r="21">
      <c r="A21" s="38" t="inlineStr">
        <is>
          <t>Contingency (5%)</t>
        </is>
      </c>
      <c r="B21" s="40" t="inlineStr"/>
      <c r="C21" s="40" t="inlineStr"/>
      <c r="D21" s="33">
        <f>SUM(D18:D24)*0.05</f>
        <v/>
      </c>
      <c r="E21" s="34">
        <f>D25/$B$9</f>
        <v/>
      </c>
      <c r="F21" s="40" t="inlineStr">
        <is>
          <t>Construction contingency</t>
        </is>
      </c>
    </row>
    <row r="22">
      <c r="A22" s="40" t="inlineStr">
        <is>
          <t>Total Hard Costs</t>
        </is>
      </c>
      <c r="B22" s="40" t="inlineStr"/>
      <c r="C22" s="40" t="inlineStr"/>
      <c r="D22" s="33">
        <f>SUM(D17:D25)</f>
        <v/>
      </c>
      <c r="E22" s="34">
        <f>D26/$B$9</f>
        <v/>
      </c>
      <c r="F22" s="40" t="inlineStr"/>
    </row>
    <row r="23">
      <c r="A23" s="40" t="inlineStr"/>
      <c r="B23" s="40" t="inlineStr"/>
      <c r="C23" s="40" t="inlineStr"/>
      <c r="D23" s="40" t="inlineStr"/>
      <c r="E23" s="40" t="inlineStr"/>
      <c r="F23" s="40" t="inlineStr"/>
    </row>
    <row r="24">
      <c r="A24" s="38" t="inlineStr">
        <is>
          <t>Soft Costs:</t>
        </is>
      </c>
      <c r="B24" s="40" t="inlineStr"/>
      <c r="C24" s="40" t="inlineStr"/>
      <c r="D24" s="40" t="inlineStr"/>
      <c r="E24" s="40" t="inlineStr"/>
      <c r="F24" s="40" t="inlineStr"/>
    </row>
    <row r="25">
      <c r="A25" s="38" t="inlineStr">
        <is>
          <t>Architecture &amp; Engineering</t>
        </is>
      </c>
      <c r="B25" s="40" t="inlineStr"/>
      <c r="C25" s="40" t="inlineStr"/>
      <c r="D25" s="33" t="n">
        <v>850000</v>
      </c>
      <c r="E25" s="34">
        <f>D29/$B$9</f>
        <v/>
      </c>
      <c r="F25" s="40" t="inlineStr">
        <is>
          <t>Design fees</t>
        </is>
      </c>
    </row>
    <row r="26">
      <c r="A26" s="38" t="inlineStr">
        <is>
          <t>Legal &amp; Permitting</t>
        </is>
      </c>
      <c r="B26" s="40" t="inlineStr"/>
      <c r="C26" s="40" t="inlineStr"/>
      <c r="D26" s="33" t="n">
        <v>425000</v>
      </c>
      <c r="E26" s="34">
        <f>D30/$B$9</f>
        <v/>
      </c>
      <c r="F26" s="40" t="inlineStr">
        <is>
          <t>Entitlements, permits</t>
        </is>
      </c>
    </row>
    <row r="27">
      <c r="A27" s="38" t="inlineStr">
        <is>
          <t>Construction Management</t>
        </is>
      </c>
      <c r="B27" s="40" t="inlineStr"/>
      <c r="C27" s="40" t="inlineStr"/>
      <c r="D27" s="33">
        <f>D26*0.04</f>
        <v/>
      </c>
      <c r="E27" s="34">
        <f>D31/$B$9</f>
        <v/>
      </c>
      <c r="F27" s="40" t="inlineStr">
        <is>
          <t>4% of hard costs</t>
        </is>
      </c>
    </row>
    <row r="28">
      <c r="A28" s="38" t="inlineStr">
        <is>
          <t>Developer Fee</t>
        </is>
      </c>
      <c r="B28" s="40" t="inlineStr"/>
      <c r="C28" s="40" t="inlineStr"/>
      <c r="D28" s="33">
        <f>D26*0.05</f>
        <v/>
      </c>
      <c r="E28" s="34">
        <f>D32/$B$9</f>
        <v/>
      </c>
      <c r="F28" s="40" t="inlineStr">
        <is>
          <t>5% of hard costs</t>
        </is>
      </c>
    </row>
    <row r="29">
      <c r="A29" s="38" t="inlineStr">
        <is>
          <t>Marketing &amp; Lease-Up</t>
        </is>
      </c>
      <c r="B29" s="40" t="inlineStr"/>
      <c r="C29" s="40" t="inlineStr"/>
      <c r="D29" s="33" t="n">
        <v>650000</v>
      </c>
      <c r="E29" s="34">
        <f>D33/$B$9</f>
        <v/>
      </c>
      <c r="F29" s="40" t="inlineStr">
        <is>
          <t>Pre-leasing</t>
        </is>
      </c>
    </row>
    <row r="30">
      <c r="A30" s="38" t="inlineStr">
        <is>
          <t>Financing Costs</t>
        </is>
      </c>
      <c r="B30" s="40" t="inlineStr"/>
      <c r="C30" s="40" t="inlineStr"/>
      <c r="D30" s="33" t="n">
        <v>1250000</v>
      </c>
      <c r="E30" s="34">
        <f>D34/$B$9</f>
        <v/>
      </c>
      <c r="F30" s="40" t="inlineStr">
        <is>
          <t>Interest during construction</t>
        </is>
      </c>
    </row>
    <row r="31">
      <c r="A31" s="38" t="inlineStr">
        <is>
          <t>Insurance &amp; Taxes</t>
        </is>
      </c>
      <c r="B31" s="40" t="inlineStr"/>
      <c r="C31" s="40" t="inlineStr"/>
      <c r="D31" s="33" t="n">
        <v>425000</v>
      </c>
      <c r="E31" s="34">
        <f>D35/$B$9</f>
        <v/>
      </c>
      <c r="F31" s="40" t="inlineStr">
        <is>
          <t>During construction</t>
        </is>
      </c>
    </row>
    <row r="32">
      <c r="A32" s="40" t="inlineStr">
        <is>
          <t>Total Soft Costs</t>
        </is>
      </c>
      <c r="B32" s="40" t="inlineStr"/>
      <c r="C32" s="40" t="inlineStr"/>
      <c r="D32" s="33">
        <f>SUM(D29:D35)</f>
        <v/>
      </c>
      <c r="E32" s="34">
        <f>D36/$B$9</f>
        <v/>
      </c>
      <c r="F32" s="40" t="inlineStr"/>
    </row>
    <row r="33">
      <c r="A33" s="40" t="inlineStr"/>
      <c r="B33" s="40" t="inlineStr"/>
      <c r="C33" s="40" t="inlineStr"/>
      <c r="D33" s="40" t="inlineStr"/>
      <c r="E33" s="40" t="inlineStr"/>
      <c r="F33" s="40" t="inlineStr"/>
    </row>
    <row r="34">
      <c r="A34" s="38" t="inlineStr">
        <is>
          <t>TOTAL DEVELOPMENT COST</t>
        </is>
      </c>
      <c r="B34" s="40" t="inlineStr"/>
      <c r="C34" s="40" t="inlineStr"/>
      <c r="D34" s="33">
        <f>D26+D36</f>
        <v/>
      </c>
      <c r="E34" s="34">
        <f>D38/$B$9</f>
        <v/>
      </c>
      <c r="F34" s="40" t="inlineStr"/>
    </row>
    <row r="35">
      <c r="A35" s="38" t="inlineStr">
        <is>
          <t>Cost per SF</t>
        </is>
      </c>
      <c r="B35" s="41">
        <f>D38/B7</f>
        <v/>
      </c>
      <c r="C35" s="40" t="inlineStr"/>
      <c r="D35" s="40" t="inlineStr"/>
      <c r="E35" s="40" t="inlineStr"/>
      <c r="F35" s="40" t="inlineStr"/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20" customWidth="1" min="4" max="4"/>
  </cols>
  <sheetData>
    <row r="1">
      <c r="A1" s="42" t="inlineStr">
        <is>
          <t>🤖 AI INTEGRATION &amp; AUTOMATION GUIDE</t>
        </is>
      </c>
    </row>
    <row r="2">
      <c r="A2" s="29" t="inlineStr">
        <is>
          <t>This model is designed for both manual use and platform integration</t>
        </is>
      </c>
    </row>
    <row r="4">
      <c r="A4" s="43" t="inlineStr">
        <is>
          <t>OVERVIEW</t>
        </is>
      </c>
    </row>
    <row r="6">
      <c r="A6" t="inlineStr">
        <is>
          <t>This Real Estate Financial Model combines Jake's Model structure with enhancements from:</t>
        </is>
      </c>
    </row>
    <row r="7">
      <c r="A7" s="44" t="inlineStr">
        <is>
          <t>• Industrial Development Model - Construction budgeting and phased development</t>
        </is>
      </c>
    </row>
    <row r="8">
      <c r="A8" s="44" t="inlineStr">
        <is>
          <t>• Multifamily Acquisition Model - Comprehensive property analysis</t>
        </is>
      </c>
    </row>
    <row r="9">
      <c r="A9" s="44" t="inlineStr">
        <is>
          <t>• RE AI Technology Reference Guide - AI-powered automation capabilities</t>
        </is>
      </c>
    </row>
    <row r="10">
      <c r="A10" t="inlineStr"/>
    </row>
    <row r="11">
      <c r="A11" t="inlineStr">
        <is>
          <t>The model works in TWO MODES:</t>
        </is>
      </c>
    </row>
    <row r="12">
      <c r="A12" s="44" t="inlineStr">
        <is>
          <t>1. STANDALONE: Manual Excel template for deal analysis</t>
        </is>
      </c>
    </row>
    <row r="13">
      <c r="A13" s="44" t="inlineStr">
        <is>
          <t>2. INTEGRATED: Automated via Portfolio Dashboard platform</t>
        </is>
      </c>
    </row>
    <row r="16">
      <c r="A16" s="43" t="inlineStr">
        <is>
          <t>AI-POWERED FEATURES</t>
        </is>
      </c>
    </row>
    <row r="18">
      <c r="A18" s="37" t="inlineStr">
        <is>
          <t>Feature</t>
        </is>
      </c>
      <c r="B18" s="37" t="inlineStr">
        <is>
          <t>API Provider</t>
        </is>
      </c>
      <c r="C18" s="37" t="inlineStr">
        <is>
          <t>Auto-Populates</t>
        </is>
      </c>
      <c r="D18" s="37" t="inlineStr">
        <is>
          <t>Manual Override</t>
        </is>
      </c>
    </row>
    <row r="19">
      <c r="A19" s="32" t="inlineStr">
        <is>
          <t>Property Valuation</t>
        </is>
      </c>
      <c r="B19" s="32" t="inlineStr">
        <is>
          <t>HouseCanary / CoreLogic</t>
        </is>
      </c>
      <c r="C19" s="32" t="inlineStr">
        <is>
          <t>Market value, confidence score</t>
        </is>
      </c>
      <c r="D19" s="32" t="inlineStr">
        <is>
          <t>Inputs!B54</t>
        </is>
      </c>
    </row>
    <row r="20">
      <c r="A20" s="32" t="inlineStr">
        <is>
          <t>Comparable Sales</t>
        </is>
      </c>
      <c r="B20" s="32" t="inlineStr">
        <is>
          <t>MLS / Zillow API</t>
        </is>
      </c>
      <c r="C20" s="32" t="inlineStr">
        <is>
          <t>Market Analysis sheet cells</t>
        </is>
      </c>
      <c r="D20" s="32" t="inlineStr">
        <is>
          <t>Market Analysis!D7:D11</t>
        </is>
      </c>
    </row>
    <row r="21">
      <c r="A21" s="32" t="inlineStr">
        <is>
          <t>Market Metrics</t>
        </is>
      </c>
      <c r="B21" s="32" t="inlineStr">
        <is>
          <t>Census / BLS APIs</t>
        </is>
      </c>
      <c r="C21" s="32" t="inlineStr">
        <is>
          <t>Market Analysis!B31:B37</t>
        </is>
      </c>
      <c r="D21" s="32" t="inlineStr">
        <is>
          <t>Market Analysis sheet</t>
        </is>
      </c>
    </row>
    <row r="22">
      <c r="A22" s="32" t="inlineStr">
        <is>
          <t>Rent Predictions</t>
        </is>
      </c>
      <c r="B22" s="32" t="inlineStr">
        <is>
          <t>RentRange / Zillow</t>
        </is>
      </c>
      <c r="C22" s="32" t="inlineStr">
        <is>
          <t>Inputs!E25:E28</t>
        </is>
      </c>
      <c r="D22" s="32" t="inlineStr">
        <is>
          <t>Unit Mix section</t>
        </is>
      </c>
    </row>
    <row r="23">
      <c r="A23" s="32" t="inlineStr">
        <is>
          <t>Cap Rate Analysis</t>
        </is>
      </c>
      <c r="B23" s="32" t="inlineStr">
        <is>
          <t>CBRE / CoStar</t>
        </is>
      </c>
      <c r="C23" s="32" t="inlineStr">
        <is>
          <t>Inputs!B93, Market Analysis</t>
        </is>
      </c>
      <c r="D23" s="32" t="inlineStr">
        <is>
          <t>Exit Assumptions</t>
        </is>
      </c>
    </row>
    <row r="24">
      <c r="A24" s="32" t="inlineStr">
        <is>
          <t>Document Extraction</t>
        </is>
      </c>
      <c r="B24" s="32" t="inlineStr">
        <is>
          <t>Claude AI / GPT-4</t>
        </is>
      </c>
      <c r="C24" s="32" t="inlineStr">
        <is>
          <t>Rent rolls, financials</t>
        </is>
      </c>
      <c r="D24" s="32" t="inlineStr">
        <is>
          <t>Various inputs</t>
        </is>
      </c>
    </row>
    <row r="27">
      <c r="A27" s="43" t="inlineStr">
        <is>
          <t>PLATFORM INTEGRATION WORKFLOW</t>
        </is>
      </c>
    </row>
    <row r="29">
      <c r="A29" s="45" t="inlineStr">
        <is>
          <t>STEP 1: Property Onboarding</t>
        </is>
      </c>
    </row>
    <row r="30">
      <c r="A30" s="46" t="inlineStr">
        <is>
          <t>→ User uploads property address + basic info</t>
        </is>
      </c>
    </row>
    <row r="31">
      <c r="A31" s="46" t="inlineStr">
        <is>
          <t>→ API calls to HouseCanary for valuation + comparables</t>
        </is>
      </c>
    </row>
    <row r="32">
      <c r="A32" s="46" t="inlineStr">
        <is>
          <t>→ Auto-populate Inputs sheet (B5-B19)</t>
        </is>
      </c>
    </row>
    <row r="33">
      <c r="A33" t="inlineStr"/>
    </row>
    <row r="34">
      <c r="A34" s="45" t="inlineStr">
        <is>
          <t>STEP 2: Financial Data Extraction</t>
        </is>
      </c>
    </row>
    <row r="35">
      <c r="A35" s="46" t="inlineStr">
        <is>
          <t>→ User uploads rent roll PDF, financial statements</t>
        </is>
      </c>
    </row>
    <row r="36">
      <c r="A36" s="46" t="inlineStr">
        <is>
          <t>→ Claude AI extracts: unit mix, rents, expenses</t>
        </is>
      </c>
    </row>
    <row r="37">
      <c r="A37" s="46" t="inlineStr">
        <is>
          <t>→ Auto-populate: Unit Mix (B25:E28), Operating Assumptions</t>
        </is>
      </c>
    </row>
    <row r="38">
      <c r="A38" t="inlineStr"/>
    </row>
    <row r="39">
      <c r="A39" s="45" t="inlineStr">
        <is>
          <t>STEP 3: Model Generation</t>
        </is>
      </c>
    </row>
    <row r="40">
      <c r="A40" s="46" t="inlineStr">
        <is>
          <t>→ Python script (excel_model_generator.py) creates this Excel file</t>
        </is>
      </c>
    </row>
    <row r="41">
      <c r="A41" s="46" t="inlineStr">
        <is>
          <t>→ All formulas preserved, data injected into yellow input cells</t>
        </is>
      </c>
    </row>
    <row r="42">
      <c r="A42" s="46" t="inlineStr">
        <is>
          <t>→ Model saved to database with company_id, property_id</t>
        </is>
      </c>
    </row>
    <row r="43">
      <c r="A43" t="inlineStr"/>
    </row>
    <row r="44">
      <c r="A44" s="45" t="inlineStr">
        <is>
          <t>STEP 4: Scenario Management</t>
        </is>
      </c>
    </row>
    <row r="45">
      <c r="A45" s="46" t="inlineStr">
        <is>
          <t>→ User can create multiple scenarios (Base, Upside, Downside)</t>
        </is>
      </c>
    </row>
    <row r="46">
      <c r="A46" s="46" t="inlineStr">
        <is>
          <t>→ Each scenario = separate copy with modified assumptions</t>
        </is>
      </c>
    </row>
    <row r="47">
      <c r="A47" s="46" t="inlineStr">
        <is>
          <t>→ Dashboard displays IRR comparison across scenarios</t>
        </is>
      </c>
    </row>
    <row r="48">
      <c r="A48" t="inlineStr"/>
    </row>
    <row r="49">
      <c r="A49" s="45" t="inlineStr">
        <is>
          <t>STEP 5: Automated Updates</t>
        </is>
      </c>
    </row>
    <row r="50">
      <c r="A50" s="46" t="inlineStr">
        <is>
          <t>→ Quarterly: Portfolio companies submit updated financials via PDF</t>
        </is>
      </c>
    </row>
    <row r="51">
      <c r="A51" s="46" t="inlineStr">
        <is>
          <t>→ AI extracts actuals, updates 'Year 0' or 'Actual' columns</t>
        </is>
      </c>
    </row>
    <row r="52">
      <c r="A52" s="46" t="inlineStr">
        <is>
          <t>→ Model recalculates projections vs. actuals variance</t>
        </is>
      </c>
    </row>
    <row r="55">
      <c r="A55" s="43" t="inlineStr">
        <is>
          <t>DATABASE SCHEMA MAPPING</t>
        </is>
      </c>
    </row>
    <row r="57">
      <c r="A57" s="37" t="inlineStr">
        <is>
          <t>Excel Cell</t>
        </is>
      </c>
      <c r="B57" s="37" t="inlineStr">
        <is>
          <t>Database Table</t>
        </is>
      </c>
      <c r="C57" s="37" t="inlineStr">
        <is>
          <t>Database Column</t>
        </is>
      </c>
      <c r="D57" s="37" t="inlineStr">
        <is>
          <t>Data Type</t>
        </is>
      </c>
    </row>
    <row r="58">
      <c r="A58" s="40" t="inlineStr">
        <is>
          <t>Inputs!B5</t>
        </is>
      </c>
      <c r="B58" s="40" t="inlineStr">
        <is>
          <t>properties</t>
        </is>
      </c>
      <c r="C58" s="40" t="inlineStr">
        <is>
          <t>property_name</t>
        </is>
      </c>
      <c r="D58" s="40" t="inlineStr">
        <is>
          <t>VARCHAR</t>
        </is>
      </c>
    </row>
    <row r="59">
      <c r="A59" s="40" t="inlineStr">
        <is>
          <t>Inputs!B6</t>
        </is>
      </c>
      <c r="B59" s="40" t="inlineStr">
        <is>
          <t>properties</t>
        </is>
      </c>
      <c r="C59" s="40" t="inlineStr">
        <is>
          <t>property_type</t>
        </is>
      </c>
      <c r="D59" s="40" t="inlineStr">
        <is>
          <t>VARCHAR</t>
        </is>
      </c>
    </row>
    <row r="60">
      <c r="A60" s="40" t="inlineStr">
        <is>
          <t>Inputs!B7-B8</t>
        </is>
      </c>
      <c r="B60" s="40" t="inlineStr">
        <is>
          <t>properties</t>
        </is>
      </c>
      <c r="C60" s="40" t="inlineStr">
        <is>
          <t>address</t>
        </is>
      </c>
      <c r="D60" s="40" t="inlineStr">
        <is>
          <t>TEXT</t>
        </is>
      </c>
    </row>
    <row r="61">
      <c r="A61" s="40" t="inlineStr">
        <is>
          <t>Inputs!B9</t>
        </is>
      </c>
      <c r="B61" s="40" t="inlineStr">
        <is>
          <t>properties</t>
        </is>
      </c>
      <c r="C61" s="40" t="inlineStr">
        <is>
          <t>acquisition_date</t>
        </is>
      </c>
      <c r="D61" s="40" t="inlineStr">
        <is>
          <t>DATE</t>
        </is>
      </c>
    </row>
    <row r="62">
      <c r="A62" s="40" t="inlineStr">
        <is>
          <t>Inputs!B12</t>
        </is>
      </c>
      <c r="B62" s="40" t="inlineStr">
        <is>
          <t>properties</t>
        </is>
      </c>
      <c r="C62" s="40" t="inlineStr">
        <is>
          <t>num_units</t>
        </is>
      </c>
      <c r="D62" s="40" t="inlineStr">
        <is>
          <t>INTEGER</t>
        </is>
      </c>
    </row>
    <row r="63">
      <c r="A63" s="40" t="inlineStr">
        <is>
          <t>Inputs!B54</t>
        </is>
      </c>
      <c r="B63" s="40" t="inlineStr">
        <is>
          <t>acquisitions</t>
        </is>
      </c>
      <c r="C63" s="40" t="inlineStr">
        <is>
          <t>purchase_price</t>
        </is>
      </c>
      <c r="D63" s="40" t="inlineStr">
        <is>
          <t>DECIMAL</t>
        </is>
      </c>
    </row>
    <row r="64">
      <c r="A64" s="40" t="inlineStr">
        <is>
          <t>Inputs!B65-B69</t>
        </is>
      </c>
      <c r="B64" s="40" t="inlineStr">
        <is>
          <t>financing</t>
        </is>
      </c>
      <c r="C64" s="40" t="inlineStr">
        <is>
          <t>ltv, rate, term</t>
        </is>
      </c>
      <c r="D64" s="40" t="inlineStr">
        <is>
          <t>DECIMAL</t>
        </is>
      </c>
    </row>
    <row r="65">
      <c r="A65" s="40" t="inlineStr">
        <is>
          <t>ProForma!C18:G18</t>
        </is>
      </c>
      <c r="B65" s="40" t="inlineStr">
        <is>
          <t>projections</t>
        </is>
      </c>
      <c r="C65" s="40" t="inlineStr">
        <is>
          <t>noi_year1-5</t>
        </is>
      </c>
      <c r="D65" s="40" t="inlineStr">
        <is>
          <t>DECIMAL</t>
        </is>
      </c>
    </row>
    <row r="66">
      <c r="A66" s="40" t="inlineStr">
        <is>
          <t>CashFlow!B31:G31</t>
        </is>
      </c>
      <c r="B66" s="40" t="inlineStr">
        <is>
          <t>projections</t>
        </is>
      </c>
      <c r="C66" s="40" t="inlineStr">
        <is>
          <t>levered_cf_year0-5</t>
        </is>
      </c>
      <c r="D66" s="40" t="inlineStr">
        <is>
          <t>DECIMAL</t>
        </is>
      </c>
    </row>
    <row r="67">
      <c r="A67" s="40" t="inlineStr">
        <is>
          <t>Summary!B11</t>
        </is>
      </c>
      <c r="B67" s="40" t="inlineStr">
        <is>
          <t>metrics</t>
        </is>
      </c>
      <c r="C67" s="40" t="inlineStr">
        <is>
          <t>unlevered_irr</t>
        </is>
      </c>
      <c r="D67" s="40" t="inlineStr">
        <is>
          <t>DECIMAL</t>
        </is>
      </c>
    </row>
    <row r="68">
      <c r="A68" s="40" t="inlineStr">
        <is>
          <t>Summary!B12</t>
        </is>
      </c>
      <c r="B68" s="40" t="inlineStr">
        <is>
          <t>metrics</t>
        </is>
      </c>
      <c r="C68" s="40" t="inlineStr">
        <is>
          <t>levered_irr</t>
        </is>
      </c>
      <c r="D68" s="40" t="inlineStr">
        <is>
          <t>DECIMAL</t>
        </is>
      </c>
    </row>
    <row r="71">
      <c r="A71" s="43" t="inlineStr">
        <is>
          <t>API INTEGRATION CODE SNIPPET</t>
        </is>
      </c>
    </row>
    <row r="73">
      <c r="A73" s="47" t="inlineStr">
        <is>
          <t>See /mnt/project/api_model_generator.py for complete implementation</t>
        </is>
      </c>
    </row>
  </sheetData>
  <mergeCells count="27">
    <mergeCell ref="A48:H48"/>
    <mergeCell ref="A30:H30"/>
    <mergeCell ref="A39:H39"/>
    <mergeCell ref="A73:H73"/>
    <mergeCell ref="A51:H51"/>
    <mergeCell ref="A36:H36"/>
    <mergeCell ref="A49:H49"/>
    <mergeCell ref="A45:H45"/>
    <mergeCell ref="A1:H1"/>
    <mergeCell ref="A41:H41"/>
    <mergeCell ref="A37:H37"/>
    <mergeCell ref="A46:H46"/>
    <mergeCell ref="A50:H50"/>
    <mergeCell ref="A2:H2"/>
    <mergeCell ref="A42:H42"/>
    <mergeCell ref="A33:H33"/>
    <mergeCell ref="A47:H47"/>
    <mergeCell ref="A32:H32"/>
    <mergeCell ref="A29:H29"/>
    <mergeCell ref="A35:H35"/>
    <mergeCell ref="A34:H34"/>
    <mergeCell ref="A43:H43"/>
    <mergeCell ref="A38:H38"/>
    <mergeCell ref="A52:H52"/>
    <mergeCell ref="A44:H44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2025-11-02T14:57:28Z</dcterms:created>
  <dcterms:modified xmlns:dcterms="http://purl.org/dc/terms/" xmlns:xsi="http://www.w3.org/2001/XMLSchema-instance" xsi:type="dcterms:W3CDTF">2025-11-02T15:02:13Z</dcterms:modified>
</cp:coreProperties>
</file>