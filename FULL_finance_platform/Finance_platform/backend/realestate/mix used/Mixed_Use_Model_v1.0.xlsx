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Allocation Scenarios" sheetId="3" state="visible" r:id="rId3"/>
    <sheet xmlns:r="http://schemas.openxmlformats.org/officeDocument/2006/relationships" name="Multifamily Component" sheetId="4" state="visible" r:id="rId4"/>
    <sheet xmlns:r="http://schemas.openxmlformats.org/officeDocument/2006/relationships" name="Office Component" sheetId="5" state="visible" r:id="rId5"/>
    <sheet xmlns:r="http://schemas.openxmlformats.org/officeDocument/2006/relationships" name="Retail Component" sheetId="6" state="visible" r:id="rId6"/>
    <sheet xmlns:r="http://schemas.openxmlformats.org/officeDocument/2006/relationships" name="Hotel Component" sheetId="7" state="visible" r:id="rId7"/>
    <sheet xmlns:r="http://schemas.openxmlformats.org/officeDocument/2006/relationships" name="Restaurant Component" sheetId="8" state="visible" r:id="rId8"/>
    <sheet xmlns:r="http://schemas.openxmlformats.org/officeDocument/2006/relationships" name="Consolidated Pro Forma" sheetId="9" state="visible" r:id="rId9"/>
    <sheet xmlns:r="http://schemas.openxmlformats.org/officeDocument/2006/relationships" name="Cash Flow Analysis" sheetId="10" state="visible" r:id="rId10"/>
    <sheet xmlns:r="http://schemas.openxmlformats.org/officeDocument/2006/relationships" name="Returns Analysis" sheetId="11" state="visible" r:id="rId11"/>
    <sheet xmlns:r="http://schemas.openxmlformats.org/officeDocument/2006/relationships" name="Sensitivity Analysi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$#,##0,,&quot;mm&quot;;($#,##0,,&quot;mm&quot;);&quot;-&quot;"/>
    <numFmt numFmtId="165" formatCode="0.0%"/>
    <numFmt numFmtId="166" formatCode="$#,##0"/>
    <numFmt numFmtId="167" formatCode="$#,##0.00"/>
    <numFmt numFmtId="168" formatCode="$#,##0,,,&quot;mm&quot;"/>
    <numFmt numFmtId="169" formatCode="$#,##0,,&quot;mm&quot;"/>
    <numFmt numFmtId="170" formatCode="0.00x"/>
    <numFmt numFmtId="171" formatCode="($#,##0,,&quot;mm&quot;)"/>
  </numFmts>
  <fonts count="17">
    <font>
      <name val="Calibri"/>
      <family val="2"/>
      <color theme="1"/>
      <sz val="11"/>
      <scheme val="minor"/>
    </font>
    <font>
      <b val="1"/>
      <color rgb="00000080"/>
      <sz val="16"/>
    </font>
    <font>
      <b val="1"/>
      <color rgb="00000080"/>
      <sz val="12"/>
    </font>
    <font>
      <b val="1"/>
      <color rgb="00FFFFFF"/>
      <sz val="11"/>
    </font>
    <font>
      <color rgb="00000000"/>
      <sz val="10"/>
    </font>
    <font>
      <color rgb="00008000"/>
      <sz val="10"/>
    </font>
    <font>
      <b val="1"/>
      <color rgb="00000080"/>
      <sz val="14"/>
    </font>
    <font>
      <i val="1"/>
      <color rgb="00FF0000"/>
      <sz val="9"/>
    </font>
    <font>
      <color rgb="000000FF"/>
      <sz val="10"/>
    </font>
    <font>
      <b val="1"/>
      <color rgb="00000000"/>
    </font>
    <font>
      <i val="1"/>
      <color rgb="00666666"/>
      <sz val="9"/>
    </font>
    <font>
      <i val="1"/>
      <sz val="10"/>
    </font>
    <font>
      <i val="1"/>
      <sz val="9"/>
    </font>
    <font>
      <b val="1"/>
    </font>
    <font>
      <b val="1"/>
      <color rgb="00000080"/>
      <sz val="11"/>
    </font>
    <font>
      <i val="1"/>
    </font>
    <font>
      <b val="1"/>
      <sz val="10"/>
      <u val="single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3" fontId="5" fillId="0" borderId="0" pivotButton="0" quotePrefix="0" xfId="0"/>
    <xf numFmtId="164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3" borderId="0" pivotButton="0" quotePrefix="0" xfId="0"/>
    <xf numFmtId="3" fontId="8" fillId="3" borderId="0" pivotButton="0" quotePrefix="0" xfId="0"/>
    <xf numFmtId="0" fontId="3" fillId="4" borderId="1" pivotButton="0" quotePrefix="0" xfId="0"/>
    <xf numFmtId="165" fontId="8" fillId="3" borderId="0" pivotButton="0" quotePrefix="0" xfId="0"/>
    <xf numFmtId="3" fontId="4" fillId="0" borderId="0" pivotButton="0" quotePrefix="0" xfId="0"/>
    <xf numFmtId="0" fontId="9" fillId="0" borderId="0" pivotButton="0" quotePrefix="0" xfId="0"/>
    <xf numFmtId="165" fontId="9" fillId="0" borderId="0" pivotButton="0" quotePrefix="0" xfId="0"/>
    <xf numFmtId="3" fontId="9" fillId="0" borderId="0" pivotButton="0" quotePrefix="0" xfId="0"/>
    <xf numFmtId="0" fontId="10" fillId="0" borderId="0" pivotButton="0" quotePrefix="0" xfId="0"/>
    <xf numFmtId="166" fontId="8" fillId="3" borderId="0" pivotButton="0" quotePrefix="0" xfId="0"/>
    <xf numFmtId="2" fontId="8" fillId="3" borderId="0" pivotButton="0" quotePrefix="0" xfId="0"/>
    <xf numFmtId="167" fontId="8" fillId="3" borderId="0" pivotButton="0" quotePrefix="0" xfId="0"/>
    <xf numFmtId="168" fontId="8" fillId="3" borderId="0" pivotButton="0" quotePrefix="0" xfId="0"/>
    <xf numFmtId="168" fontId="4" fillId="0" borderId="0" pivotButton="0" quotePrefix="0" xfId="0"/>
    <xf numFmtId="168" fontId="9" fillId="0" borderId="0" pivotButton="0" quotePrefix="0" xfId="0"/>
    <xf numFmtId="165" fontId="4" fillId="0" borderId="0" pivotButton="0" quotePrefix="0" xfId="0"/>
    <xf numFmtId="0" fontId="11" fillId="0" borderId="0" pivotButton="0" quotePrefix="0" xfId="0"/>
    <xf numFmtId="0" fontId="3" fillId="2" borderId="1" pivotButton="0" quotePrefix="0" xfId="0"/>
    <xf numFmtId="165" fontId="8" fillId="0" borderId="0" pivotButton="0" quotePrefix="0" xfId="0"/>
    <xf numFmtId="169" fontId="5" fillId="0" borderId="0" pivotButton="0" quotePrefix="0" xfId="0"/>
    <xf numFmtId="165" fontId="5" fillId="0" borderId="0" pivotButton="0" quotePrefix="0" xfId="0"/>
    <xf numFmtId="170" fontId="5" fillId="0" borderId="0" pivotButton="0" quotePrefix="0" xfId="0"/>
    <xf numFmtId="0" fontId="12" fillId="0" borderId="0" pivotButton="0" quotePrefix="0" xfId="0"/>
    <xf numFmtId="167" fontId="5" fillId="0" borderId="0" pivotButton="0" quotePrefix="0" xfId="0"/>
    <xf numFmtId="169" fontId="4" fillId="0" borderId="0" pivotButton="0" quotePrefix="0" xfId="0"/>
    <xf numFmtId="0" fontId="13" fillId="0" borderId="0" pivotButton="0" quotePrefix="0" xfId="0"/>
    <xf numFmtId="165" fontId="13" fillId="0" borderId="0" pivotButton="0" quotePrefix="0" xfId="0"/>
    <xf numFmtId="3" fontId="13" fillId="0" borderId="0" pivotButton="0" quotePrefix="0" xfId="0"/>
    <xf numFmtId="169" fontId="13" fillId="0" borderId="0" pivotButton="0" quotePrefix="0" xfId="0"/>
    <xf numFmtId="166" fontId="5" fillId="0" borderId="0" pivotButton="0" quotePrefix="0" xfId="0"/>
    <xf numFmtId="0" fontId="3" fillId="4" borderId="0" pivotButton="0" quotePrefix="0" xfId="0"/>
    <xf numFmtId="169" fontId="0" fillId="0" borderId="0" pivotButton="0" quotePrefix="0" xfId="0"/>
    <xf numFmtId="0" fontId="14" fillId="0" borderId="0" pivotButton="0" quotePrefix="0" xfId="0"/>
    <xf numFmtId="171" fontId="0" fillId="0" borderId="0" pivotButton="0" quotePrefix="0" xfId="0"/>
    <xf numFmtId="0" fontId="15" fillId="0" borderId="0" pivotButton="0" quotePrefix="0" xfId="0"/>
    <xf numFmtId="165" fontId="0" fillId="0" borderId="0" pivotButton="0" quotePrefix="0" xfId="0"/>
    <xf numFmtId="0" fontId="16" fillId="0" borderId="0" pivotButton="0" quotePrefix="0" xfId="0"/>
    <xf numFmtId="165" fontId="3" fillId="4" borderId="0" pivotButton="0" quotePrefix="0" xfId="0"/>
    <xf numFmtId="166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MIXED-USE DEVELOPMENT FINANCIAL MODEL</t>
        </is>
      </c>
    </row>
    <row r="2">
      <c r="A2" s="2" t="inlineStr">
        <is>
          <t>Executive Summary Dashboard</t>
        </is>
      </c>
    </row>
    <row r="4">
      <c r="A4" s="3" t="inlineStr">
        <is>
          <t>PROPERTY OVERVIEW</t>
        </is>
      </c>
    </row>
    <row r="5">
      <c r="A5" s="4" t="inlineStr">
        <is>
          <t>Property Name:</t>
        </is>
      </c>
      <c r="B5" s="5">
        <f>Inputs!B5</f>
        <v/>
      </c>
    </row>
    <row r="6">
      <c r="A6" s="4" t="inlineStr">
        <is>
          <t>Total Building SF:</t>
        </is>
      </c>
      <c r="B6" s="6">
        <f>Inputs!B9</f>
        <v/>
      </c>
    </row>
    <row r="7">
      <c r="A7" s="4" t="inlineStr">
        <is>
          <t>Total Development Cost:</t>
        </is>
      </c>
      <c r="B7" s="7">
        <f>Inputs!B130</f>
        <v/>
      </c>
    </row>
    <row r="8">
      <c r="A8" s="4" t="inlineStr">
        <is>
          <t>Location:</t>
        </is>
      </c>
      <c r="B8" s="5" t="n"/>
    </row>
    <row r="9">
      <c r="A9" s="4" t="inlineStr">
        <is>
          <t>Number of Floors:</t>
        </is>
      </c>
      <c r="B9" s="5" t="n"/>
    </row>
    <row r="10">
      <c r="A10" s="4" t="inlineStr">
        <is>
          <t>Cost per SF:</t>
        </is>
      </c>
      <c r="B10" s="5" t="n"/>
    </row>
    <row r="11">
      <c r="A11" s="4" t="inlineStr">
        <is>
          <t>Asset Class:</t>
        </is>
      </c>
      <c r="B11" s="5" t="n"/>
    </row>
    <row r="12">
      <c r="A12" s="4" t="inlineStr">
        <is>
          <t>Hold Period (Years):</t>
        </is>
      </c>
      <c r="B12" s="5" t="n"/>
    </row>
    <row r="13">
      <c r="A13" s="4" t="inlineStr">
        <is>
          <t>Entry Cap Rate:</t>
        </is>
      </c>
      <c r="B13" s="5" t="n"/>
    </row>
    <row r="14">
      <c r="A14" s="4" t="inlineStr">
        <is>
          <t>Development Start:</t>
        </is>
      </c>
      <c r="B14" s="5" t="n"/>
    </row>
    <row r="15">
      <c r="A15" s="4" t="inlineStr">
        <is>
          <t>Stabilization Year:</t>
        </is>
      </c>
      <c r="B15" s="5" t="n"/>
    </row>
    <row r="16">
      <c r="A16" s="4" t="inlineStr">
        <is>
          <t>Exit Cap Rate:</t>
        </is>
      </c>
      <c r="B16" s="5" t="n"/>
    </row>
  </sheetData>
  <mergeCells count="1">
    <mergeCell ref="A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30" customWidth="1" min="4" max="4"/>
    <col width="15" customWidth="1" min="5" max="5"/>
  </cols>
  <sheetData>
    <row r="1">
      <c r="A1" s="8" t="inlineStr">
        <is>
          <t>MIXED-USE MODEL - INPUTS &amp; ASSUMPTIONS</t>
        </is>
      </c>
    </row>
    <row r="2">
      <c r="A2" s="9" t="inlineStr">
        <is>
          <t>Change BLUE cells only. Yellow highlights indicate key assumptions.</t>
        </is>
      </c>
    </row>
    <row r="4">
      <c r="A4" s="3" t="inlineStr">
        <is>
          <t>PROPERTY INFORMATION</t>
        </is>
      </c>
    </row>
    <row r="5">
      <c r="A5" s="4" t="inlineStr">
        <is>
          <t>Property Name</t>
        </is>
      </c>
      <c r="B5" s="10" t="inlineStr">
        <is>
          <t>Metropolitan Mixed-Use Tower</t>
        </is>
      </c>
    </row>
    <row r="6">
      <c r="A6" s="4" t="inlineStr">
        <is>
          <t>Address</t>
        </is>
      </c>
      <c r="B6" s="10" t="inlineStr">
        <is>
          <t>123 Main Street</t>
        </is>
      </c>
    </row>
    <row r="7">
      <c r="A7" s="4" t="inlineStr">
        <is>
          <t>City, State</t>
        </is>
      </c>
      <c r="B7" s="10" t="inlineStr">
        <is>
          <t>Downtown, CA</t>
        </is>
      </c>
    </row>
    <row r="8">
      <c r="A8" s="4" t="inlineStr">
        <is>
          <t>Total Building Gross SF</t>
        </is>
      </c>
      <c r="B8" s="11" t="n">
        <v>500000</v>
      </c>
    </row>
    <row r="9">
      <c r="A9" s="4" t="inlineStr">
        <is>
          <t>Number of Floors</t>
        </is>
      </c>
      <c r="B9" s="10" t="n">
        <v>40</v>
      </c>
    </row>
    <row r="10">
      <c r="A10" s="4" t="inlineStr">
        <is>
          <t>Average Floor Plate (SF)</t>
        </is>
      </c>
      <c r="B10" s="11" t="n">
        <v>12500</v>
      </c>
    </row>
    <row r="11">
      <c r="A11" s="4" t="inlineStr">
        <is>
          <t>Parking Spaces</t>
        </is>
      </c>
      <c r="B11" s="10" t="n">
        <v>400</v>
      </c>
    </row>
    <row r="12">
      <c r="A12" s="4" t="inlineStr">
        <is>
          <t>Asset Class (A/B/C)</t>
        </is>
      </c>
      <c r="B12" s="10" t="inlineStr">
        <is>
          <t>A</t>
        </is>
      </c>
    </row>
    <row r="14">
      <c r="A14" s="3" t="inlineStr">
        <is>
          <t>SPACE ALLOCATION BY USE</t>
        </is>
      </c>
    </row>
    <row r="15">
      <c r="A15" s="12" t="inlineStr">
        <is>
          <t>Property Type</t>
        </is>
      </c>
      <c r="B15" s="12" t="inlineStr">
        <is>
          <t>% of Total SF</t>
        </is>
      </c>
      <c r="C15" s="12" t="inlineStr">
        <is>
          <t>Allocated SF</t>
        </is>
      </c>
      <c r="D15" s="12" t="inlineStr">
        <is>
          <t>Avg Floor Count</t>
        </is>
      </c>
    </row>
    <row r="16">
      <c r="A16" s="4" t="inlineStr">
        <is>
          <t>Multifamily (Apartments)</t>
        </is>
      </c>
      <c r="B16" s="13" t="n">
        <v>0.4</v>
      </c>
      <c r="C16" s="14">
        <f>B9*B16</f>
        <v/>
      </c>
      <c r="D16" s="4" t="inlineStr">
        <is>
          <t>Floors 21-40</t>
        </is>
      </c>
    </row>
    <row r="17">
      <c r="A17" s="4" t="inlineStr">
        <is>
          <t>Office</t>
        </is>
      </c>
      <c r="B17" s="13" t="n">
        <v>0.25</v>
      </c>
      <c r="C17" s="14">
        <f>B9*B17</f>
        <v/>
      </c>
      <c r="D17" s="4" t="inlineStr">
        <is>
          <t>Floors 11-20</t>
        </is>
      </c>
    </row>
    <row r="18">
      <c r="A18" s="4" t="inlineStr">
        <is>
          <t>Retail</t>
        </is>
      </c>
      <c r="B18" s="13" t="n">
        <v>0.15</v>
      </c>
      <c r="C18" s="14">
        <f>B9*B18</f>
        <v/>
      </c>
      <c r="D18" s="4" t="inlineStr">
        <is>
          <t>Floors 1-3</t>
        </is>
      </c>
    </row>
    <row r="19">
      <c r="A19" s="4" t="inlineStr">
        <is>
          <t>Hotel</t>
        </is>
      </c>
      <c r="B19" s="13" t="n">
        <v>0.15</v>
      </c>
      <c r="C19" s="14">
        <f>B9*B19</f>
        <v/>
      </c>
      <c r="D19" s="4" t="inlineStr">
        <is>
          <t>Floors 4-10</t>
        </is>
      </c>
    </row>
    <row r="20">
      <c r="A20" s="4" t="inlineStr">
        <is>
          <t>Restaurant / F&amp;B</t>
        </is>
      </c>
      <c r="B20" s="13" t="n">
        <v>0.05</v>
      </c>
      <c r="C20" s="14">
        <f>B9*B20</f>
        <v/>
      </c>
      <c r="D20" s="4" t="inlineStr">
        <is>
          <t>Ground Floor</t>
        </is>
      </c>
    </row>
    <row r="21">
      <c r="A21" s="15" t="inlineStr">
        <is>
          <t>TOTAL ALLOCATION</t>
        </is>
      </c>
      <c r="B21" s="16">
        <f>SUM(B16:B20)</f>
        <v/>
      </c>
      <c r="C21" s="17">
        <f>SUM(C16:C20)</f>
        <v/>
      </c>
    </row>
    <row r="23">
      <c r="A23" s="3" t="inlineStr">
        <is>
          <t>MULTIFAMILY ASSUMPTIONS</t>
        </is>
      </c>
    </row>
    <row r="24">
      <c r="A24" s="4" t="inlineStr">
        <is>
          <t>Total Units (calculated)</t>
        </is>
      </c>
      <c r="B24" s="14">
        <f>C16/850</f>
        <v/>
      </c>
      <c r="D24" s="18" t="inlineStr">
        <is>
          <t>Avg 850 SF/unit</t>
        </is>
      </c>
    </row>
    <row r="25">
      <c r="A25" s="4" t="inlineStr">
        <is>
          <t>Average Unit Size (SF)</t>
        </is>
      </c>
      <c r="B25" s="11" t="n">
        <v>850</v>
      </c>
    </row>
    <row r="26">
      <c r="A26" s="4" t="inlineStr">
        <is>
          <t>Average Rent per Unit (Monthly)</t>
        </is>
      </c>
      <c r="B26" s="19" t="n">
        <v>3500</v>
      </c>
    </row>
    <row r="27">
      <c r="A27" s="4" t="inlineStr">
        <is>
          <t>Physical Occupancy Target</t>
        </is>
      </c>
      <c r="B27" s="13" t="n">
        <v>0.96</v>
      </c>
    </row>
    <row r="28">
      <c r="A28" s="4" t="inlineStr">
        <is>
          <t>Rent Growth (Annual)</t>
        </is>
      </c>
      <c r="B28" s="13" t="n">
        <v>0.035</v>
      </c>
    </row>
    <row r="29">
      <c r="A29" s="4" t="inlineStr">
        <is>
          <t>Concessions</t>
        </is>
      </c>
      <c r="B29" s="13" t="n">
        <v>0.02</v>
      </c>
    </row>
    <row r="30">
      <c r="A30" s="4" t="inlineStr">
        <is>
          <t>Bad Debt</t>
        </is>
      </c>
      <c r="B30" s="13" t="n">
        <v>0.005</v>
      </c>
    </row>
    <row r="31">
      <c r="A31" s="4" t="inlineStr">
        <is>
          <t>Other Income per Unit (Monthly)</t>
        </is>
      </c>
      <c r="B31" s="19" t="n">
        <v>150</v>
      </c>
      <c r="D31" s="18" t="inlineStr">
        <is>
          <t>Parking, storage, pets</t>
        </is>
      </c>
    </row>
    <row r="32">
      <c r="A32" s="4" t="inlineStr">
        <is>
          <t>OpEx per Unit (Monthly)</t>
        </is>
      </c>
      <c r="B32" s="19" t="n">
        <v>650</v>
      </c>
    </row>
    <row r="33">
      <c r="A33" s="4" t="inlineStr">
        <is>
          <t>OpEx Growth (Annual)</t>
        </is>
      </c>
      <c r="B33" s="13" t="n">
        <v>0.03</v>
      </c>
    </row>
    <row r="35">
      <c r="A35" s="3" t="inlineStr">
        <is>
          <t>OFFICE ASSUMPTIONS</t>
        </is>
      </c>
    </row>
    <row r="36">
      <c r="A36" s="4" t="inlineStr">
        <is>
          <t>Rentable SF (RSF)</t>
        </is>
      </c>
      <c r="B36" s="14">
        <f>C17</f>
        <v/>
      </c>
    </row>
    <row r="37">
      <c r="A37" s="4" t="inlineStr">
        <is>
          <t>Load Factor</t>
        </is>
      </c>
      <c r="B37" s="20" t="n">
        <v>1.2</v>
      </c>
      <c r="D37" s="18" t="inlineStr">
        <is>
          <t>20% common area</t>
        </is>
      </c>
    </row>
    <row r="38">
      <c r="A38" s="4" t="inlineStr">
        <is>
          <t>Usable SF (USF)</t>
        </is>
      </c>
      <c r="B38" s="14">
        <f>B35/B36</f>
        <v/>
      </c>
    </row>
    <row r="39">
      <c r="A39" s="4" t="inlineStr">
        <is>
          <t>Average Rent per SF (Annual)</t>
        </is>
      </c>
      <c r="B39" s="21" t="n">
        <v>45</v>
      </c>
    </row>
    <row r="40">
      <c r="A40" s="4" t="inlineStr">
        <is>
          <t>Economic Occupancy</t>
        </is>
      </c>
      <c r="B40" s="13" t="n">
        <v>0.95</v>
      </c>
    </row>
    <row r="41">
      <c r="A41" s="4" t="inlineStr">
        <is>
          <t>Rent Growth (Annual)</t>
        </is>
      </c>
      <c r="B41" s="13" t="n">
        <v>0.03</v>
      </c>
    </row>
    <row r="42">
      <c r="A42" s="4" t="inlineStr">
        <is>
          <t>Expense Recovery Rate</t>
        </is>
      </c>
      <c r="B42" s="13" t="n">
        <v>0.98</v>
      </c>
    </row>
    <row r="43">
      <c r="A43" s="4" t="inlineStr">
        <is>
          <t>OpEx per SF (Annual)</t>
        </is>
      </c>
      <c r="B43" s="21" t="n">
        <v>15</v>
      </c>
    </row>
    <row r="44">
      <c r="A44" s="4" t="inlineStr">
        <is>
          <t>OpEx Growth (Annual)</t>
        </is>
      </c>
      <c r="B44" s="13" t="n">
        <v>0.025</v>
      </c>
    </row>
    <row r="46">
      <c r="A46" s="3" t="inlineStr">
        <is>
          <t>RETAIL ASSUMPTIONS</t>
        </is>
      </c>
    </row>
    <row r="47">
      <c r="A47" s="4" t="inlineStr">
        <is>
          <t>Total Retail SF</t>
        </is>
      </c>
      <c r="B47" s="14">
        <f>C18</f>
        <v/>
      </c>
    </row>
    <row r="48">
      <c r="A48" s="4" t="inlineStr">
        <is>
          <t>Average Rent per SF (Annual)</t>
        </is>
      </c>
      <c r="B48" s="21" t="n">
        <v>55</v>
      </c>
      <c r="D48" s="18" t="inlineStr">
        <is>
          <t>Premium retail</t>
        </is>
      </c>
    </row>
    <row r="49">
      <c r="A49" s="4" t="inlineStr">
        <is>
          <t>Economic Occupancy</t>
        </is>
      </c>
      <c r="B49" s="13" t="n">
        <v>0.92</v>
      </c>
    </row>
    <row r="50">
      <c r="A50" s="4" t="inlineStr">
        <is>
          <t>Rent Growth (Annual)</t>
        </is>
      </c>
      <c r="B50" s="13" t="n">
        <v>0.04</v>
      </c>
      <c r="D50" s="18" t="inlineStr">
        <is>
          <t>Higher growth</t>
        </is>
      </c>
    </row>
    <row r="51">
      <c r="A51" s="4" t="inlineStr">
        <is>
          <t>Percentage Rent (% of Sales)</t>
        </is>
      </c>
      <c r="B51" s="13" t="n">
        <v>0.08</v>
      </c>
      <c r="D51" s="18" t="inlineStr">
        <is>
          <t>Overage above base</t>
        </is>
      </c>
    </row>
    <row r="52">
      <c r="A52" s="4" t="inlineStr">
        <is>
          <t>Avg Sales per SF (Annual)</t>
        </is>
      </c>
      <c r="B52" s="19" t="n">
        <v>500</v>
      </c>
      <c r="D52" s="18" t="inlineStr">
        <is>
          <t>Tenant sales</t>
        </is>
      </c>
    </row>
    <row r="53">
      <c r="A53" s="4" t="inlineStr">
        <is>
          <t>CAM Charges per SF</t>
        </is>
      </c>
      <c r="B53" s="21" t="n">
        <v>12</v>
      </c>
    </row>
    <row r="54">
      <c r="A54" s="4" t="inlineStr">
        <is>
          <t>OpEx per SF (Annual)</t>
        </is>
      </c>
      <c r="B54" s="21" t="n">
        <v>18</v>
      </c>
    </row>
    <row r="55">
      <c r="A55" s="4" t="inlineStr">
        <is>
          <t>OpEx Growth (Annual)</t>
        </is>
      </c>
      <c r="B55" s="13" t="n">
        <v>0.03</v>
      </c>
    </row>
    <row r="57">
      <c r="A57" s="3" t="inlineStr">
        <is>
          <t>HOTEL ASSUMPTIONS</t>
        </is>
      </c>
    </row>
    <row r="58">
      <c r="A58" s="4" t="inlineStr">
        <is>
          <t>Total Hotel SF</t>
        </is>
      </c>
      <c r="B58" s="14">
        <f>C19</f>
        <v/>
      </c>
    </row>
    <row r="59">
      <c r="A59" s="4" t="inlineStr">
        <is>
          <t>Number of Rooms (calculated)</t>
        </is>
      </c>
      <c r="B59" s="14">
        <f>B57/500</f>
        <v/>
      </c>
      <c r="D59" s="18" t="inlineStr">
        <is>
          <t>Avg 500 SF/room</t>
        </is>
      </c>
    </row>
    <row r="60">
      <c r="A60" s="4" t="inlineStr">
        <is>
          <t>Average Daily Rate (ADR)</t>
        </is>
      </c>
      <c r="B60" s="21" t="n">
        <v>285</v>
      </c>
    </row>
    <row r="61">
      <c r="A61" s="4" t="inlineStr">
        <is>
          <t>Occupancy Rate</t>
        </is>
      </c>
      <c r="B61" s="13" t="n">
        <v>0.75</v>
      </c>
    </row>
    <row r="62">
      <c r="A62" s="4" t="inlineStr">
        <is>
          <t>RevPAR Growth (Annual)</t>
        </is>
      </c>
      <c r="B62" s="13" t="n">
        <v>0.04</v>
      </c>
    </row>
    <row r="63">
      <c r="A63" s="4" t="inlineStr">
        <is>
          <t>F&amp;B Revenue per Room</t>
        </is>
      </c>
      <c r="B63" s="21" t="n">
        <v>45</v>
      </c>
      <c r="D63" s="18" t="inlineStr">
        <is>
          <t>Daily</t>
        </is>
      </c>
    </row>
    <row r="64">
      <c r="A64" s="4" t="inlineStr">
        <is>
          <t>Other Revenue per Room</t>
        </is>
      </c>
      <c r="B64" s="21" t="n">
        <v>15</v>
      </c>
      <c r="D64" s="18" t="inlineStr">
        <is>
          <t>Spa, parking, etc.</t>
        </is>
      </c>
    </row>
    <row r="65">
      <c r="A65" s="4" t="inlineStr">
        <is>
          <t>Operating Expenses (% Revenue)</t>
        </is>
      </c>
      <c r="B65" s="13" t="n">
        <v>0.65</v>
      </c>
    </row>
    <row r="66">
      <c r="A66" s="4" t="inlineStr">
        <is>
          <t>Management Fee (% Revenue)</t>
        </is>
      </c>
      <c r="B66" s="13" t="n">
        <v>0.03</v>
      </c>
    </row>
    <row r="68">
      <c r="A68" s="3" t="inlineStr">
        <is>
          <t>RESTAURANT / F&amp;B ASSUMPTIONS</t>
        </is>
      </c>
    </row>
    <row r="69">
      <c r="A69" s="4" t="inlineStr">
        <is>
          <t>Total F&amp;B SF</t>
        </is>
      </c>
      <c r="B69" s="14">
        <f>C20</f>
        <v/>
      </c>
    </row>
    <row r="70">
      <c r="A70" s="4" t="inlineStr">
        <is>
          <t>Base Rent per SF (Annual)</t>
        </is>
      </c>
      <c r="B70" s="21" t="n">
        <v>60</v>
      </c>
    </row>
    <row r="71">
      <c r="A71" s="4" t="inlineStr">
        <is>
          <t>Percentage Rent (% of Sales)</t>
        </is>
      </c>
      <c r="B71" s="13" t="n">
        <v>0.1</v>
      </c>
      <c r="D71" s="18" t="inlineStr">
        <is>
          <t>Overage</t>
        </is>
      </c>
    </row>
    <row r="72">
      <c r="A72" s="4" t="inlineStr">
        <is>
          <t>Sales per SF (Annual)</t>
        </is>
      </c>
      <c r="B72" s="19" t="n">
        <v>800</v>
      </c>
      <c r="D72" s="18" t="inlineStr">
        <is>
          <t>High-traffic retail</t>
        </is>
      </c>
    </row>
    <row r="73">
      <c r="A73" s="4" t="inlineStr">
        <is>
          <t>Economic Occupancy</t>
        </is>
      </c>
      <c r="B73" s="13" t="n">
        <v>0.9</v>
      </c>
    </row>
    <row r="74">
      <c r="A74" s="4" t="inlineStr">
        <is>
          <t>Rent Growth (Annual)</t>
        </is>
      </c>
      <c r="B74" s="13" t="n">
        <v>0.035</v>
      </c>
    </row>
    <row r="75">
      <c r="A75" s="4" t="inlineStr">
        <is>
          <t>OpEx per SF (Annual)</t>
        </is>
      </c>
      <c r="B75" s="21" t="n">
        <v>20</v>
      </c>
    </row>
    <row r="76">
      <c r="A76" s="4" t="inlineStr">
        <is>
          <t>OpEx Growth (Annual)</t>
        </is>
      </c>
      <c r="B76" s="13" t="n">
        <v>0.03</v>
      </c>
    </row>
    <row r="78">
      <c r="A78" s="3" t="inlineStr">
        <is>
          <t>DEVELOPMENT BUDGET</t>
        </is>
      </c>
    </row>
    <row r="79">
      <c r="A79" s="4" t="inlineStr">
        <is>
          <t>Land Acquisition</t>
        </is>
      </c>
      <c r="B79" s="22" t="n">
        <v>75000000</v>
      </c>
    </row>
    <row r="80">
      <c r="A80" s="4" t="inlineStr">
        <is>
          <t>Hard Costs per SF</t>
        </is>
      </c>
      <c r="B80" s="21" t="n">
        <v>425</v>
      </c>
    </row>
    <row r="81">
      <c r="A81" s="4" t="inlineStr">
        <is>
          <t>Total Hard Costs</t>
        </is>
      </c>
      <c r="B81" s="23">
        <f>B9*B79</f>
        <v/>
      </c>
    </row>
    <row r="82">
      <c r="A82" s="4" t="inlineStr">
        <is>
          <t>Soft Costs (% of Hard)</t>
        </is>
      </c>
      <c r="B82" s="13" t="n">
        <v>0.18</v>
      </c>
    </row>
    <row r="83">
      <c r="A83" s="4" t="inlineStr">
        <is>
          <t>Total Soft Costs</t>
        </is>
      </c>
      <c r="B83" s="23">
        <f>B78*B79</f>
        <v/>
      </c>
    </row>
    <row r="84">
      <c r="A84" s="4" t="inlineStr">
        <is>
          <t>FF&amp;E - Multifamily ($/unit)</t>
        </is>
      </c>
      <c r="B84" s="19" t="n">
        <v>8000</v>
      </c>
    </row>
    <row r="85">
      <c r="A85" s="4" t="inlineStr">
        <is>
          <t>FF&amp;E - Hotel ($/room)</t>
        </is>
      </c>
      <c r="B85" s="19" t="n">
        <v>15000</v>
      </c>
    </row>
    <row r="86">
      <c r="A86" s="4" t="inlineStr">
        <is>
          <t>FF&amp;E - Restaurant ($/SF)</t>
        </is>
      </c>
      <c r="B86" s="19" t="n">
        <v>125</v>
      </c>
    </row>
    <row r="87">
      <c r="A87" s="4" t="inlineStr">
        <is>
          <t>Developer Fee (%)</t>
        </is>
      </c>
      <c r="B87" s="13" t="n">
        <v>0.03</v>
      </c>
    </row>
    <row r="88">
      <c r="A88" s="4" t="inlineStr">
        <is>
          <t>Contingency (%)</t>
        </is>
      </c>
      <c r="B88" s="13" t="n">
        <v>0.05</v>
      </c>
    </row>
    <row r="89">
      <c r="A89" s="15" t="inlineStr">
        <is>
          <t>TOTAL DEVELOPMENT COST</t>
        </is>
      </c>
      <c r="B89" s="24">
        <f>B118+B120+B121+(B36*B123)+(B67*B124)+(B108*B125)+(B118+B120)*B126+(B118+B120)*B127</f>
        <v/>
      </c>
    </row>
    <row r="91">
      <c r="A91" s="3" t="inlineStr">
        <is>
          <t>FINANCING ASSUMPTIONS</t>
        </is>
      </c>
    </row>
    <row r="92">
      <c r="A92" s="4" t="inlineStr">
        <is>
          <t>Loan-to-Cost (LTC)</t>
        </is>
      </c>
      <c r="B92" s="13" t="n">
        <v>0.65</v>
      </c>
    </row>
    <row r="93">
      <c r="A93" s="4" t="inlineStr">
        <is>
          <t>Interest Rate</t>
        </is>
      </c>
      <c r="B93" s="13" t="n">
        <v>0.065</v>
      </c>
    </row>
    <row r="94">
      <c r="A94" s="4" t="inlineStr">
        <is>
          <t>Loan Term (Years)</t>
        </is>
      </c>
      <c r="B94" s="11" t="n">
        <v>30</v>
      </c>
    </row>
    <row r="95">
      <c r="A95" s="4" t="inlineStr">
        <is>
          <t>Amortization (Years)</t>
        </is>
      </c>
      <c r="B95" s="11" t="n">
        <v>30</v>
      </c>
    </row>
    <row r="96">
      <c r="A96" s="4" t="inlineStr">
        <is>
          <t>Loan Fees</t>
        </is>
      </c>
      <c r="B96" s="13" t="n">
        <v>0.015</v>
      </c>
    </row>
    <row r="98">
      <c r="A98" s="3" t="inlineStr">
        <is>
          <t>EXIT ASSUMPTIONS</t>
        </is>
      </c>
    </row>
    <row r="99">
      <c r="A99" s="4" t="inlineStr">
        <is>
          <t>Hold Period (Years)</t>
        </is>
      </c>
      <c r="B99" s="11" t="n">
        <v>10</v>
      </c>
    </row>
    <row r="100">
      <c r="A100" s="4" t="inlineStr">
        <is>
          <t>Exit Cap Rate - Multifamily</t>
        </is>
      </c>
      <c r="B100" s="13" t="n">
        <v>0.048</v>
      </c>
    </row>
    <row r="101">
      <c r="A101" s="4" t="inlineStr">
        <is>
          <t>Exit Cap Rate - Office</t>
        </is>
      </c>
      <c r="B101" s="13" t="n">
        <v>0.065</v>
      </c>
    </row>
    <row r="102">
      <c r="A102" s="4" t="inlineStr">
        <is>
          <t>Exit Cap Rate - Retail</t>
        </is>
      </c>
      <c r="B102" s="13" t="n">
        <v>0.06</v>
      </c>
    </row>
    <row r="103">
      <c r="A103" s="4" t="inlineStr">
        <is>
          <t>Exit Cap Rate - Hotel</t>
        </is>
      </c>
      <c r="B103" s="13" t="n">
        <v>0.07000000000000001</v>
      </c>
    </row>
    <row r="104">
      <c r="A104" s="4" t="inlineStr">
        <is>
          <t>Exit Cap Rate - Restaurant</t>
        </is>
      </c>
      <c r="B104" s="13" t="n">
        <v>0.065</v>
      </c>
    </row>
    <row r="105">
      <c r="A105" s="4" t="inlineStr">
        <is>
          <t>Blended Exit Cap Rate</t>
        </is>
      </c>
      <c r="B105" s="25">
        <f>SUMPRODUCT(B20:B24,B144:B148)/SUM(B20:B24)</f>
        <v/>
      </c>
      <c r="D105" s="18" t="inlineStr">
        <is>
          <t>Weighted average</t>
        </is>
      </c>
    </row>
    <row r="106">
      <c r="A106" s="4" t="inlineStr">
        <is>
          <t>Selling Costs</t>
        </is>
      </c>
      <c r="B106" s="13" t="n">
        <v>0.025</v>
      </c>
    </row>
  </sheetData>
  <mergeCells count="12">
    <mergeCell ref="A4:H4"/>
    <mergeCell ref="A78:H78"/>
    <mergeCell ref="A91:H91"/>
    <mergeCell ref="A46:H46"/>
    <mergeCell ref="A35:H35"/>
    <mergeCell ref="A57:H57"/>
    <mergeCell ref="A2:H2"/>
    <mergeCell ref="A98:H98"/>
    <mergeCell ref="A68:H68"/>
    <mergeCell ref="A14:H14"/>
    <mergeCell ref="A1:H1"/>
    <mergeCell ref="A23:H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8" t="inlineStr">
        <is>
          <t>ALLOCATION SCENARIO COMPARISON</t>
        </is>
      </c>
    </row>
    <row r="2">
      <c r="A2" s="26" t="inlineStr">
        <is>
          <t>Compare 8 different space allocation strategies to optimize returns</t>
        </is>
      </c>
    </row>
    <row r="4">
      <c r="A4" s="27" t="inlineStr">
        <is>
          <t>Scenario</t>
        </is>
      </c>
      <c r="B4" s="27" t="inlineStr">
        <is>
          <t>Multifamily %</t>
        </is>
      </c>
      <c r="C4" s="27" t="inlineStr">
        <is>
          <t>Office %</t>
        </is>
      </c>
      <c r="D4" s="27" t="inlineStr">
        <is>
          <t>Retail %</t>
        </is>
      </c>
      <c r="E4" s="27" t="inlineStr">
        <is>
          <t>Hotel %</t>
        </is>
      </c>
      <c r="F4" s="27" t="inlineStr">
        <is>
          <t>Restaurant %</t>
        </is>
      </c>
      <c r="G4" s="27" t="inlineStr">
        <is>
          <t>Blended NOI</t>
        </is>
      </c>
      <c r="H4" s="27" t="inlineStr">
        <is>
          <t>Levered IRR</t>
        </is>
      </c>
      <c r="I4" s="27" t="inlineStr">
        <is>
          <t>Equity Multiple</t>
        </is>
      </c>
      <c r="J4" s="27" t="inlineStr">
        <is>
          <t>Cash-on-Cash Y1</t>
        </is>
      </c>
      <c r="K4" s="27" t="inlineStr">
        <is>
          <t>Best For</t>
        </is>
      </c>
    </row>
    <row r="5">
      <c r="A5" s="4" t="inlineStr">
        <is>
          <t>Base Case (Balanced)</t>
        </is>
      </c>
      <c r="B5" s="28" t="n">
        <v>0.4</v>
      </c>
      <c r="C5" s="28" t="n">
        <v>0.25</v>
      </c>
      <c r="D5" s="28" t="n">
        <v>0.15</v>
      </c>
      <c r="E5" s="28" t="n">
        <v>0.15</v>
      </c>
      <c r="F5" s="28" t="n">
        <v>0.05</v>
      </c>
      <c r="G5" s="29">
        <f>0</f>
        <v/>
      </c>
      <c r="H5" s="30">
        <f>0</f>
        <v/>
      </c>
      <c r="I5" s="31">
        <f>0</f>
        <v/>
      </c>
      <c r="J5" s="30">
        <f>0</f>
        <v/>
      </c>
      <c r="K5" s="32" t="inlineStr">
        <is>
          <t>Diversified risk</t>
        </is>
      </c>
    </row>
    <row r="6">
      <c r="A6" s="4" t="inlineStr">
        <is>
          <t>Multifamily Focus</t>
        </is>
      </c>
      <c r="B6" s="25" t="n">
        <v>0.7</v>
      </c>
      <c r="C6" s="25" t="n">
        <v>0.15</v>
      </c>
      <c r="D6" s="25" t="n">
        <v>0.1</v>
      </c>
      <c r="E6" s="25" t="n">
        <v>0</v>
      </c>
      <c r="F6" s="25" t="n">
        <v>0.05</v>
      </c>
      <c r="G6" s="29">
        <f>0</f>
        <v/>
      </c>
      <c r="H6" s="30">
        <f>0</f>
        <v/>
      </c>
      <c r="I6" s="31">
        <f>0</f>
        <v/>
      </c>
      <c r="J6" s="30">
        <f>0</f>
        <v/>
      </c>
      <c r="K6" s="32" t="inlineStr">
        <is>
          <t>Residential market</t>
        </is>
      </c>
    </row>
    <row r="7">
      <c r="A7" s="4" t="inlineStr">
        <is>
          <t>Office Tower</t>
        </is>
      </c>
      <c r="B7" s="25" t="n">
        <v>0.2</v>
      </c>
      <c r="C7" s="25" t="n">
        <v>0.6</v>
      </c>
      <c r="D7" s="25" t="n">
        <v>0.1</v>
      </c>
      <c r="E7" s="25" t="n">
        <v>0.05</v>
      </c>
      <c r="F7" s="25" t="n">
        <v>0.05</v>
      </c>
      <c r="G7" s="29">
        <f>0</f>
        <v/>
      </c>
      <c r="H7" s="30">
        <f>0</f>
        <v/>
      </c>
      <c r="I7" s="31">
        <f>0</f>
        <v/>
      </c>
      <c r="J7" s="30">
        <f>0</f>
        <v/>
      </c>
      <c r="K7" s="32" t="inlineStr">
        <is>
          <t>CBD location</t>
        </is>
      </c>
    </row>
    <row r="8">
      <c r="A8" s="4" t="inlineStr">
        <is>
          <t>Retail Emphasis</t>
        </is>
      </c>
      <c r="B8" s="25" t="n">
        <v>0.3</v>
      </c>
      <c r="C8" s="25" t="n">
        <v>0.15</v>
      </c>
      <c r="D8" s="25" t="n">
        <v>0.4</v>
      </c>
      <c r="E8" s="25" t="n">
        <v>0.1</v>
      </c>
      <c r="F8" s="25" t="n">
        <v>0.05</v>
      </c>
      <c r="G8" s="29">
        <f>0</f>
        <v/>
      </c>
      <c r="H8" s="30">
        <f>0</f>
        <v/>
      </c>
      <c r="I8" s="31">
        <f>0</f>
        <v/>
      </c>
      <c r="J8" s="30">
        <f>0</f>
        <v/>
      </c>
      <c r="K8" s="32" t="inlineStr">
        <is>
          <t>High-traffic area</t>
        </is>
      </c>
    </row>
    <row r="9">
      <c r="A9" s="4" t="inlineStr">
        <is>
          <t>Hospitality Driven</t>
        </is>
      </c>
      <c r="B9" s="25" t="n">
        <v>0.15</v>
      </c>
      <c r="C9" s="25" t="n">
        <v>0.2</v>
      </c>
      <c r="D9" s="25" t="n">
        <v>0.15</v>
      </c>
      <c r="E9" s="25" t="n">
        <v>0.45</v>
      </c>
      <c r="F9" s="25" t="n">
        <v>0.05</v>
      </c>
      <c r="G9" s="29">
        <f>0</f>
        <v/>
      </c>
      <c r="H9" s="30">
        <f>0</f>
        <v/>
      </c>
      <c r="I9" s="31">
        <f>0</f>
        <v/>
      </c>
      <c r="J9" s="30">
        <f>0</f>
        <v/>
      </c>
      <c r="K9" s="32" t="inlineStr">
        <is>
          <t>Tourism/Convention</t>
        </is>
      </c>
    </row>
    <row r="10">
      <c r="A10" s="4" t="inlineStr">
        <is>
          <t>Luxury Mixed-Use</t>
        </is>
      </c>
      <c r="B10" s="25" t="n">
        <v>0.35</v>
      </c>
      <c r="C10" s="25" t="n">
        <v>0.2</v>
      </c>
      <c r="D10" s="25" t="n">
        <v>0.15</v>
      </c>
      <c r="E10" s="25" t="n">
        <v>0.2</v>
      </c>
      <c r="F10" s="25" t="n">
        <v>0.1</v>
      </c>
      <c r="G10" s="29">
        <f>0</f>
        <v/>
      </c>
      <c r="H10" s="30">
        <f>0</f>
        <v/>
      </c>
      <c r="I10" s="31">
        <f>0</f>
        <v/>
      </c>
      <c r="J10" s="30">
        <f>0</f>
        <v/>
      </c>
      <c r="K10" s="32" t="inlineStr">
        <is>
          <t>Affluent market</t>
        </is>
      </c>
    </row>
    <row r="11">
      <c r="A11" s="4" t="inlineStr">
        <is>
          <t>Value-Add Play</t>
        </is>
      </c>
      <c r="B11" s="25" t="n">
        <v>0.5</v>
      </c>
      <c r="C11" s="25" t="n">
        <v>0.3</v>
      </c>
      <c r="D11" s="25" t="n">
        <v>0.1</v>
      </c>
      <c r="E11" s="25" t="n">
        <v>0.05</v>
      </c>
      <c r="F11" s="25" t="n">
        <v>0.05</v>
      </c>
      <c r="G11" s="29">
        <f>0</f>
        <v/>
      </c>
      <c r="H11" s="30">
        <f>0</f>
        <v/>
      </c>
      <c r="I11" s="31">
        <f>0</f>
        <v/>
      </c>
      <c r="J11" s="30">
        <f>0</f>
        <v/>
      </c>
      <c r="K11" s="32" t="inlineStr">
        <is>
          <t>Lease-up strategy</t>
        </is>
      </c>
    </row>
    <row r="12">
      <c r="A12" s="4" t="inlineStr">
        <is>
          <t>Conservative Income</t>
        </is>
      </c>
      <c r="B12" s="25" t="n">
        <v>0.3</v>
      </c>
      <c r="C12" s="25" t="n">
        <v>0.3</v>
      </c>
      <c r="D12" s="25" t="n">
        <v>0.2</v>
      </c>
      <c r="E12" s="25" t="n">
        <v>0.15</v>
      </c>
      <c r="F12" s="25" t="n">
        <v>0.05</v>
      </c>
      <c r="G12" s="29">
        <f>0</f>
        <v/>
      </c>
      <c r="H12" s="30">
        <f>0</f>
        <v/>
      </c>
      <c r="I12" s="31">
        <f>0</f>
        <v/>
      </c>
      <c r="J12" s="30">
        <f>0</f>
        <v/>
      </c>
      <c r="K12" s="32" t="inlineStr">
        <is>
          <t>Stable cash flow</t>
        </is>
      </c>
    </row>
    <row r="15">
      <c r="A15" s="3" t="inlineStr">
        <is>
          <t>ALLOCATION OPTIMIZER</t>
        </is>
      </c>
    </row>
    <row r="16">
      <c r="A16" s="26" t="inlineStr">
        <is>
          <t>Adjust allocations below to test custom scenarios:</t>
        </is>
      </c>
    </row>
    <row r="17">
      <c r="A17" s="12" t="inlineStr">
        <is>
          <t>Property Type</t>
        </is>
      </c>
      <c r="B17" s="12" t="inlineStr">
        <is>
          <t>Custom %</t>
        </is>
      </c>
      <c r="C17" s="12" t="inlineStr">
        <is>
          <t>Allocated SF</t>
        </is>
      </c>
      <c r="D17" s="12" t="inlineStr">
        <is>
          <t>Est. NOI/SF</t>
        </is>
      </c>
      <c r="E17" s="12" t="inlineStr">
        <is>
          <t>Total NOI</t>
        </is>
      </c>
      <c r="F17" s="12" t="inlineStr">
        <is>
          <t>IRR Impact</t>
        </is>
      </c>
    </row>
    <row r="18">
      <c r="A18" s="4" t="inlineStr">
        <is>
          <t>Multifamily</t>
        </is>
      </c>
      <c r="B18" s="13" t="n">
        <v>0.2</v>
      </c>
      <c r="C18" s="14">
        <f>Inputs!$B$9*B18</f>
        <v/>
      </c>
      <c r="D18" s="33" t="n">
        <v>0</v>
      </c>
      <c r="E18" s="34">
        <f>C18*D18</f>
        <v/>
      </c>
      <c r="F18" s="30">
        <f>0%</f>
        <v/>
      </c>
    </row>
    <row r="19">
      <c r="A19" s="4" t="inlineStr">
        <is>
          <t>Office</t>
        </is>
      </c>
      <c r="B19" s="13" t="n">
        <v>0.2</v>
      </c>
      <c r="C19" s="14">
        <f>Inputs!$B$9*B19</f>
        <v/>
      </c>
      <c r="D19" s="33" t="n">
        <v>0</v>
      </c>
      <c r="E19" s="34">
        <f>C19*D19</f>
        <v/>
      </c>
      <c r="F19" s="30">
        <f>0%</f>
        <v/>
      </c>
    </row>
    <row r="20">
      <c r="A20" s="4" t="inlineStr">
        <is>
          <t>Retail</t>
        </is>
      </c>
      <c r="B20" s="13" t="n">
        <v>0.2</v>
      </c>
      <c r="C20" s="14">
        <f>Inputs!$B$9*B20</f>
        <v/>
      </c>
      <c r="D20" s="33" t="n">
        <v>0</v>
      </c>
      <c r="E20" s="34">
        <f>C20*D20</f>
        <v/>
      </c>
      <c r="F20" s="30">
        <f>0%</f>
        <v/>
      </c>
    </row>
    <row r="21">
      <c r="A21" s="4" t="inlineStr">
        <is>
          <t>Hotel</t>
        </is>
      </c>
      <c r="B21" s="13" t="n">
        <v>0.2</v>
      </c>
      <c r="C21" s="14">
        <f>Inputs!$B$9*B21</f>
        <v/>
      </c>
      <c r="D21" s="33" t="n">
        <v>0</v>
      </c>
      <c r="E21" s="34">
        <f>C21*D21</f>
        <v/>
      </c>
      <c r="F21" s="30">
        <f>0%</f>
        <v/>
      </c>
    </row>
    <row r="22">
      <c r="A22" s="4" t="inlineStr">
        <is>
          <t>Restaurant/F&amp;B</t>
        </is>
      </c>
      <c r="B22" s="13" t="n">
        <v>0.2</v>
      </c>
      <c r="C22" s="14">
        <f>Inputs!$B$9*B22</f>
        <v/>
      </c>
      <c r="D22" s="33" t="n">
        <v>0</v>
      </c>
      <c r="E22" s="34">
        <f>C22*D22</f>
        <v/>
      </c>
      <c r="F22" s="30">
        <f>0%</f>
        <v/>
      </c>
    </row>
    <row r="23">
      <c r="A23" s="35" t="inlineStr">
        <is>
          <t>TOTAL</t>
        </is>
      </c>
      <c r="B23" s="36">
        <f>SUM(B18:B22)</f>
        <v/>
      </c>
      <c r="C23" s="37">
        <f>SUM(C18:C22)</f>
        <v/>
      </c>
      <c r="E23" s="38">
        <f>SUM(E18:E22)</f>
        <v/>
      </c>
    </row>
  </sheetData>
  <mergeCells count="4">
    <mergeCell ref="A2:K2"/>
    <mergeCell ref="A16:F16"/>
    <mergeCell ref="A1:K1"/>
    <mergeCell ref="A15:F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8" t="inlineStr">
        <is>
          <t>RETAIL COMPONENT ANALYSIS</t>
        </is>
      </c>
    </row>
    <row r="3">
      <c r="A3" s="3" t="inlineStr">
        <is>
          <t>KEY METRICS</t>
        </is>
      </c>
    </row>
    <row r="4">
      <c r="A4" s="4" t="inlineStr">
        <is>
          <t>Total Retail SF</t>
        </is>
      </c>
      <c r="B4" s="6">
        <f>Inputs!B56</f>
        <v/>
      </c>
    </row>
    <row r="5">
      <c r="A5" s="4" t="inlineStr">
        <is>
          <t>Avg Rent/SF</t>
        </is>
      </c>
      <c r="B5" s="33">
        <f>Inputs!B57</f>
        <v/>
      </c>
    </row>
    <row r="6">
      <c r="A6" s="4" t="inlineStr">
        <is>
          <t>Economic Occupancy</t>
        </is>
      </c>
      <c r="B6" s="30">
        <f>Inputs!B58</f>
        <v/>
      </c>
    </row>
    <row r="7">
      <c r="A7" s="4" t="inlineStr">
        <is>
          <t>Sales/SF</t>
        </is>
      </c>
      <c r="B7" s="39">
        <f>Inputs!B60</f>
        <v/>
      </c>
    </row>
    <row r="10">
      <c r="A10" s="40" t="inlineStr">
        <is>
          <t>Line Item</t>
        </is>
      </c>
      <c r="B10" s="40" t="inlineStr">
        <is>
          <t>Y1</t>
        </is>
      </c>
      <c r="C10" s="40" t="inlineStr">
        <is>
          <t>Y2</t>
        </is>
      </c>
      <c r="D10" s="40" t="inlineStr">
        <is>
          <t>Y3</t>
        </is>
      </c>
      <c r="E10" s="40" t="inlineStr">
        <is>
          <t>Y4</t>
        </is>
      </c>
      <c r="F10" s="40" t="inlineStr">
        <is>
          <t>Y5</t>
        </is>
      </c>
      <c r="G10" s="40" t="inlineStr">
        <is>
          <t>Y6</t>
        </is>
      </c>
      <c r="H10" s="40" t="inlineStr">
        <is>
          <t>Y7</t>
        </is>
      </c>
      <c r="I10" s="40" t="inlineStr">
        <is>
          <t>Y8</t>
        </is>
      </c>
      <c r="J10" s="40" t="inlineStr">
        <is>
          <t>Y9</t>
        </is>
      </c>
      <c r="K10" s="40" t="inlineStr">
        <is>
          <t>Y10</t>
        </is>
      </c>
    </row>
    <row r="11">
      <c r="A11" s="4" t="inlineStr">
        <is>
          <t>Base Rent</t>
        </is>
      </c>
      <c r="B11" s="41" t="n">
        <v>0</v>
      </c>
    </row>
    <row r="12">
      <c r="A12" s="4" t="inlineStr">
        <is>
          <t>Percentage Rent</t>
        </is>
      </c>
      <c r="B12" s="41" t="n">
        <v>0</v>
      </c>
    </row>
    <row r="13">
      <c r="A13" s="4" t="inlineStr">
        <is>
          <t>CAM Charges</t>
        </is>
      </c>
      <c r="B13" s="41" t="n">
        <v>0</v>
      </c>
    </row>
    <row r="14">
      <c r="A14" s="35" t="inlineStr">
        <is>
          <t>Total Revenue</t>
        </is>
      </c>
      <c r="B14" s="41" t="n">
        <v>0</v>
      </c>
    </row>
    <row r="15">
      <c r="A15" s="4" t="inlineStr"/>
    </row>
    <row r="16">
      <c r="A16" s="4" t="inlineStr">
        <is>
          <t>Operating Expenses</t>
        </is>
      </c>
      <c r="B16" s="41" t="n">
        <v>0</v>
      </c>
    </row>
    <row r="17">
      <c r="A17" s="35" t="inlineStr">
        <is>
          <t>Net Operating Income</t>
        </is>
      </c>
      <c r="B17" s="41" t="n">
        <v>0</v>
      </c>
    </row>
  </sheetData>
  <mergeCells count="2">
    <mergeCell ref="A3:F3"/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8" t="inlineStr">
        <is>
          <t>HOTEL COMPONENT ANALYSIS</t>
        </is>
      </c>
    </row>
    <row r="3">
      <c r="A3" s="3" t="inlineStr">
        <is>
          <t>KEY METRICS</t>
        </is>
      </c>
    </row>
    <row r="4">
      <c r="A4" s="4" t="inlineStr">
        <is>
          <t>Total Hotel SF</t>
        </is>
      </c>
      <c r="B4" s="6">
        <f>Inputs!B65</f>
        <v/>
      </c>
    </row>
    <row r="5">
      <c r="A5" s="4" t="inlineStr">
        <is>
          <t>Number of Rooms</t>
        </is>
      </c>
      <c r="B5" s="6">
        <f>Inputs!B66</f>
        <v/>
      </c>
    </row>
    <row r="6">
      <c r="A6" s="4" t="inlineStr">
        <is>
          <t>ADR (Avg Daily Rate)</t>
        </is>
      </c>
      <c r="B6" s="33">
        <f>Inputs!B67</f>
        <v/>
      </c>
    </row>
    <row r="7">
      <c r="A7" s="4" t="inlineStr">
        <is>
          <t>Occupancy Rate</t>
        </is>
      </c>
      <c r="B7" s="30">
        <f>Inputs!B68</f>
        <v/>
      </c>
    </row>
    <row r="10">
      <c r="A10" s="40" t="inlineStr">
        <is>
          <t>Line Item</t>
        </is>
      </c>
      <c r="B10" s="40" t="inlineStr">
        <is>
          <t>Y1</t>
        </is>
      </c>
      <c r="C10" s="40" t="inlineStr">
        <is>
          <t>Y2</t>
        </is>
      </c>
      <c r="D10" s="40" t="inlineStr">
        <is>
          <t>Y3</t>
        </is>
      </c>
      <c r="E10" s="40" t="inlineStr">
        <is>
          <t>Y4</t>
        </is>
      </c>
      <c r="F10" s="40" t="inlineStr">
        <is>
          <t>Y5</t>
        </is>
      </c>
      <c r="G10" s="40" t="inlineStr">
        <is>
          <t>Y6</t>
        </is>
      </c>
      <c r="H10" s="40" t="inlineStr">
        <is>
          <t>Y7</t>
        </is>
      </c>
      <c r="I10" s="40" t="inlineStr">
        <is>
          <t>Y8</t>
        </is>
      </c>
      <c r="J10" s="40" t="inlineStr">
        <is>
          <t>Y9</t>
        </is>
      </c>
      <c r="K10" s="40" t="inlineStr">
        <is>
          <t>Y10</t>
        </is>
      </c>
    </row>
    <row r="11">
      <c r="A11" s="4" t="inlineStr">
        <is>
          <t>Room Revenue</t>
        </is>
      </c>
      <c r="B11" s="41" t="n">
        <v>0</v>
      </c>
    </row>
    <row r="12">
      <c r="A12" s="4" t="inlineStr">
        <is>
          <t>F&amp;B Revenue</t>
        </is>
      </c>
      <c r="B12" s="41" t="n">
        <v>0</v>
      </c>
    </row>
    <row r="13">
      <c r="A13" s="4" t="inlineStr">
        <is>
          <t>Other Revenue</t>
        </is>
      </c>
      <c r="B13" s="41" t="n">
        <v>0</v>
      </c>
    </row>
    <row r="14">
      <c r="A14" s="35" t="inlineStr">
        <is>
          <t>Total Revenue</t>
        </is>
      </c>
      <c r="B14" s="41" t="n">
        <v>0</v>
      </c>
    </row>
    <row r="15">
      <c r="A15" s="4" t="inlineStr"/>
    </row>
    <row r="16">
      <c r="A16" s="4" t="inlineStr">
        <is>
          <t>Operating Expenses</t>
        </is>
      </c>
      <c r="B16" s="41" t="n">
        <v>0</v>
      </c>
    </row>
    <row r="17">
      <c r="A17" s="4" t="inlineStr">
        <is>
          <t>Management Fee</t>
        </is>
      </c>
      <c r="B17" s="41" t="n">
        <v>0</v>
      </c>
    </row>
    <row r="18">
      <c r="A18" s="35" t="inlineStr">
        <is>
          <t>Total Expenses</t>
        </is>
      </c>
      <c r="B18" s="41" t="n">
        <v>0</v>
      </c>
    </row>
    <row r="19">
      <c r="A19" s="4" t="inlineStr"/>
    </row>
    <row r="20">
      <c r="A20" s="35" t="inlineStr">
        <is>
          <t>Net Operating Income</t>
        </is>
      </c>
      <c r="B20" s="41" t="n">
        <v>0</v>
      </c>
    </row>
  </sheetData>
  <mergeCells count="2">
    <mergeCell ref="A3:F3"/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8" t="inlineStr">
        <is>
          <t>RESTAURANT / F&amp;B COMPONENT ANALYSIS</t>
        </is>
      </c>
    </row>
    <row r="3">
      <c r="A3" s="3" t="inlineStr">
        <is>
          <t>KEY METRICS</t>
        </is>
      </c>
    </row>
    <row r="4">
      <c r="A4" s="4" t="inlineStr">
        <is>
          <t>Total F&amp;B SF</t>
        </is>
      </c>
      <c r="B4" s="6">
        <f>Inputs!B77</f>
        <v/>
      </c>
    </row>
    <row r="5">
      <c r="A5" s="4" t="inlineStr">
        <is>
          <t>Base Rent/SF</t>
        </is>
      </c>
      <c r="B5" s="33">
        <f>Inputs!B78</f>
        <v/>
      </c>
    </row>
    <row r="6">
      <c r="A6" s="4" t="inlineStr">
        <is>
          <t>Sales/SF</t>
        </is>
      </c>
      <c r="B6" s="39">
        <f>Inputs!B80</f>
        <v/>
      </c>
    </row>
    <row r="7">
      <c r="A7" s="4" t="inlineStr">
        <is>
          <t>Economic Occupancy</t>
        </is>
      </c>
      <c r="B7" s="30">
        <f>Inputs!B81</f>
        <v/>
      </c>
    </row>
    <row r="10">
      <c r="A10" s="40" t="inlineStr">
        <is>
          <t>Line Item</t>
        </is>
      </c>
      <c r="B10" s="40" t="inlineStr">
        <is>
          <t>Y1</t>
        </is>
      </c>
      <c r="C10" s="40" t="inlineStr">
        <is>
          <t>Y2</t>
        </is>
      </c>
      <c r="D10" s="40" t="inlineStr">
        <is>
          <t>Y3</t>
        </is>
      </c>
      <c r="E10" s="40" t="inlineStr">
        <is>
          <t>Y4</t>
        </is>
      </c>
      <c r="F10" s="40" t="inlineStr">
        <is>
          <t>Y5</t>
        </is>
      </c>
      <c r="G10" s="40" t="inlineStr">
        <is>
          <t>Y6</t>
        </is>
      </c>
      <c r="H10" s="40" t="inlineStr">
        <is>
          <t>Y7</t>
        </is>
      </c>
      <c r="I10" s="40" t="inlineStr">
        <is>
          <t>Y8</t>
        </is>
      </c>
      <c r="J10" s="40" t="inlineStr">
        <is>
          <t>Y9</t>
        </is>
      </c>
      <c r="K10" s="40" t="inlineStr">
        <is>
          <t>Y10</t>
        </is>
      </c>
    </row>
    <row r="11">
      <c r="A11" s="4" t="inlineStr">
        <is>
          <t>Base Rent</t>
        </is>
      </c>
      <c r="B11" s="41" t="n">
        <v>0</v>
      </c>
    </row>
    <row r="12">
      <c r="A12" s="4" t="inlineStr">
        <is>
          <t>Percentage Rent</t>
        </is>
      </c>
      <c r="B12" s="41" t="n">
        <v>0</v>
      </c>
    </row>
    <row r="13">
      <c r="A13" s="35" t="inlineStr">
        <is>
          <t>Total Revenue</t>
        </is>
      </c>
      <c r="B13" s="41" t="n">
        <v>0</v>
      </c>
    </row>
    <row r="14">
      <c r="A14" s="4" t="inlineStr"/>
    </row>
    <row r="15">
      <c r="A15" s="4" t="inlineStr">
        <is>
          <t>Operating Expenses</t>
        </is>
      </c>
      <c r="B15" s="41" t="n">
        <v>0</v>
      </c>
    </row>
    <row r="16">
      <c r="A16" s="35" t="inlineStr">
        <is>
          <t>Net Operating Income</t>
        </is>
      </c>
      <c r="B16" s="41" t="n">
        <v>0</v>
      </c>
    </row>
  </sheetData>
  <mergeCells count="2">
    <mergeCell ref="A3:F3"/>
    <mergeCell ref="A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32" customWidth="1" min="1" max="1"/>
  </cols>
  <sheetData>
    <row r="1">
      <c r="A1" s="8" t="inlineStr">
        <is>
          <t>CONSOLIDATED PRO FORMA - ALL COMPONENTS</t>
        </is>
      </c>
    </row>
    <row r="2">
      <c r="A2" s="26" t="inlineStr">
        <is>
          <t>Aggregated revenue and expenses across all property types</t>
        </is>
      </c>
    </row>
    <row r="4">
      <c r="A4" s="3" t="inlineStr">
        <is>
          <t>Property Type</t>
        </is>
      </c>
      <c r="B4" s="3" t="inlineStr">
        <is>
          <t>Year 1</t>
        </is>
      </c>
      <c r="C4" s="3" t="inlineStr">
        <is>
          <t>Year 2</t>
        </is>
      </c>
      <c r="D4" s="3" t="inlineStr">
        <is>
          <t>Year 3</t>
        </is>
      </c>
      <c r="E4" s="3" t="inlineStr">
        <is>
          <t>Year 4</t>
        </is>
      </c>
      <c r="F4" s="3" t="inlineStr">
        <is>
          <t>Year 5</t>
        </is>
      </c>
      <c r="G4" s="3" t="inlineStr">
        <is>
          <t>Year 6</t>
        </is>
      </c>
      <c r="H4" s="3" t="inlineStr">
        <is>
          <t>Year 7</t>
        </is>
      </c>
      <c r="I4" s="3" t="inlineStr">
        <is>
          <t>Year 8</t>
        </is>
      </c>
      <c r="J4" s="3" t="inlineStr">
        <is>
          <t>Year 9</t>
        </is>
      </c>
      <c r="K4" s="3" t="inlineStr">
        <is>
          <t>Year 10</t>
        </is>
      </c>
    </row>
    <row r="5">
      <c r="A5" s="4" t="inlineStr">
        <is>
          <t>Multifamily Revenue</t>
        </is>
      </c>
      <c r="B5" s="41" t="n">
        <v>0</v>
      </c>
      <c r="C5" s="41" t="n">
        <v>0</v>
      </c>
      <c r="D5" s="41" t="n">
        <v>0</v>
      </c>
      <c r="E5" s="41" t="n">
        <v>0</v>
      </c>
      <c r="F5" s="41" t="n">
        <v>0</v>
      </c>
      <c r="G5" s="41" t="n">
        <v>0</v>
      </c>
      <c r="H5" s="41" t="n">
        <v>0</v>
      </c>
      <c r="I5" s="41" t="n">
        <v>0</v>
      </c>
      <c r="J5" s="41" t="n">
        <v>0</v>
      </c>
      <c r="K5" s="41" t="n">
        <v>0</v>
      </c>
    </row>
    <row r="6">
      <c r="A6" s="4" t="inlineStr">
        <is>
          <t>Office Revenue</t>
        </is>
      </c>
      <c r="B6" s="41" t="n">
        <v>0</v>
      </c>
      <c r="C6" s="41" t="n">
        <v>0</v>
      </c>
      <c r="D6" s="41" t="n">
        <v>0</v>
      </c>
      <c r="E6" s="41" t="n">
        <v>0</v>
      </c>
      <c r="F6" s="41" t="n">
        <v>0</v>
      </c>
      <c r="G6" s="41" t="n">
        <v>0</v>
      </c>
      <c r="H6" s="41" t="n">
        <v>0</v>
      </c>
      <c r="I6" s="41" t="n">
        <v>0</v>
      </c>
      <c r="J6" s="41" t="n">
        <v>0</v>
      </c>
      <c r="K6" s="41" t="n">
        <v>0</v>
      </c>
    </row>
    <row r="7">
      <c r="A7" s="4" t="inlineStr">
        <is>
          <t>Retail Revenue</t>
        </is>
      </c>
      <c r="B7" s="41" t="n">
        <v>0</v>
      </c>
      <c r="C7" s="41" t="n">
        <v>0</v>
      </c>
      <c r="D7" s="41" t="n">
        <v>0</v>
      </c>
      <c r="E7" s="41" t="n">
        <v>0</v>
      </c>
      <c r="F7" s="41" t="n">
        <v>0</v>
      </c>
      <c r="G7" s="41" t="n">
        <v>0</v>
      </c>
      <c r="H7" s="41" t="n">
        <v>0</v>
      </c>
      <c r="I7" s="41" t="n">
        <v>0</v>
      </c>
      <c r="J7" s="41" t="n">
        <v>0</v>
      </c>
      <c r="K7" s="41" t="n">
        <v>0</v>
      </c>
    </row>
    <row r="8">
      <c r="A8" s="4" t="inlineStr">
        <is>
          <t>Hotel Revenue</t>
        </is>
      </c>
      <c r="B8" s="41" t="n">
        <v>0</v>
      </c>
      <c r="C8" s="41" t="n">
        <v>0</v>
      </c>
      <c r="D8" s="41" t="n">
        <v>0</v>
      </c>
      <c r="E8" s="41" t="n">
        <v>0</v>
      </c>
      <c r="F8" s="41" t="n">
        <v>0</v>
      </c>
      <c r="G8" s="41" t="n">
        <v>0</v>
      </c>
      <c r="H8" s="41" t="n">
        <v>0</v>
      </c>
      <c r="I8" s="41" t="n">
        <v>0</v>
      </c>
      <c r="J8" s="41" t="n">
        <v>0</v>
      </c>
      <c r="K8" s="41" t="n">
        <v>0</v>
      </c>
    </row>
    <row r="9">
      <c r="A9" s="4" t="inlineStr">
        <is>
          <t>Restaurant Revenue</t>
        </is>
      </c>
      <c r="B9" s="41" t="n">
        <v>0</v>
      </c>
      <c r="C9" s="41" t="n">
        <v>0</v>
      </c>
      <c r="D9" s="41" t="n">
        <v>0</v>
      </c>
      <c r="E9" s="41" t="n">
        <v>0</v>
      </c>
      <c r="F9" s="41" t="n">
        <v>0</v>
      </c>
      <c r="G9" s="41" t="n">
        <v>0</v>
      </c>
      <c r="H9" s="41" t="n">
        <v>0</v>
      </c>
      <c r="I9" s="41" t="n">
        <v>0</v>
      </c>
      <c r="J9" s="41" t="n">
        <v>0</v>
      </c>
      <c r="K9" s="41" t="n">
        <v>0</v>
      </c>
    </row>
    <row r="10">
      <c r="A10" s="42" t="inlineStr">
        <is>
          <t>TOTAL REVENUE</t>
        </is>
      </c>
      <c r="B10" s="43" t="n">
        <v>0</v>
      </c>
      <c r="C10" s="43" t="n">
        <v>0</v>
      </c>
      <c r="D10" s="43" t="n">
        <v>0</v>
      </c>
      <c r="E10" s="43" t="n">
        <v>0</v>
      </c>
      <c r="F10" s="43" t="n">
        <v>0</v>
      </c>
      <c r="G10" s="43" t="n">
        <v>0</v>
      </c>
      <c r="H10" s="43" t="n">
        <v>0</v>
      </c>
      <c r="I10" s="43" t="n">
        <v>0</v>
      </c>
      <c r="J10" s="43" t="n">
        <v>0</v>
      </c>
      <c r="K10" s="43" t="n">
        <v>0</v>
      </c>
    </row>
    <row r="11">
      <c r="A11" s="4" t="inlineStr"/>
    </row>
    <row r="12">
      <c r="A12" s="4" t="inlineStr">
        <is>
          <t>Multifamily OpEx</t>
        </is>
      </c>
      <c r="B12" s="43" t="n">
        <v>0</v>
      </c>
      <c r="C12" s="43" t="n">
        <v>0</v>
      </c>
      <c r="D12" s="43" t="n">
        <v>0</v>
      </c>
      <c r="E12" s="43" t="n">
        <v>0</v>
      </c>
      <c r="F12" s="43" t="n">
        <v>0</v>
      </c>
      <c r="G12" s="43" t="n">
        <v>0</v>
      </c>
      <c r="H12" s="43" t="n">
        <v>0</v>
      </c>
      <c r="I12" s="43" t="n">
        <v>0</v>
      </c>
      <c r="J12" s="43" t="n">
        <v>0</v>
      </c>
      <c r="K12" s="43" t="n">
        <v>0</v>
      </c>
    </row>
    <row r="13">
      <c r="A13" s="4" t="inlineStr">
        <is>
          <t>Office OpEx</t>
        </is>
      </c>
      <c r="B13" s="43" t="n">
        <v>0</v>
      </c>
      <c r="C13" s="43" t="n">
        <v>0</v>
      </c>
      <c r="D13" s="43" t="n">
        <v>0</v>
      </c>
      <c r="E13" s="43" t="n">
        <v>0</v>
      </c>
      <c r="F13" s="43" t="n">
        <v>0</v>
      </c>
      <c r="G13" s="43" t="n">
        <v>0</v>
      </c>
      <c r="H13" s="43" t="n">
        <v>0</v>
      </c>
      <c r="I13" s="43" t="n">
        <v>0</v>
      </c>
      <c r="J13" s="43" t="n">
        <v>0</v>
      </c>
      <c r="K13" s="43" t="n">
        <v>0</v>
      </c>
    </row>
    <row r="14">
      <c r="A14" s="4" t="inlineStr">
        <is>
          <t>Retail OpEx</t>
        </is>
      </c>
      <c r="B14" s="43" t="n">
        <v>0</v>
      </c>
      <c r="C14" s="43" t="n">
        <v>0</v>
      </c>
      <c r="D14" s="43" t="n">
        <v>0</v>
      </c>
      <c r="E14" s="43" t="n">
        <v>0</v>
      </c>
      <c r="F14" s="43" t="n">
        <v>0</v>
      </c>
      <c r="G14" s="43" t="n">
        <v>0</v>
      </c>
      <c r="H14" s="43" t="n">
        <v>0</v>
      </c>
      <c r="I14" s="43" t="n">
        <v>0</v>
      </c>
      <c r="J14" s="43" t="n">
        <v>0</v>
      </c>
      <c r="K14" s="43" t="n">
        <v>0</v>
      </c>
    </row>
    <row r="15">
      <c r="A15" s="4" t="inlineStr">
        <is>
          <t>Hotel OpEx</t>
        </is>
      </c>
      <c r="B15" s="43" t="n">
        <v>0</v>
      </c>
      <c r="C15" s="43" t="n">
        <v>0</v>
      </c>
      <c r="D15" s="43" t="n">
        <v>0</v>
      </c>
      <c r="E15" s="43" t="n">
        <v>0</v>
      </c>
      <c r="F15" s="43" t="n">
        <v>0</v>
      </c>
      <c r="G15" s="43" t="n">
        <v>0</v>
      </c>
      <c r="H15" s="43" t="n">
        <v>0</v>
      </c>
      <c r="I15" s="43" t="n">
        <v>0</v>
      </c>
      <c r="J15" s="43" t="n">
        <v>0</v>
      </c>
      <c r="K15" s="43" t="n">
        <v>0</v>
      </c>
    </row>
    <row r="16">
      <c r="A16" s="4" t="inlineStr">
        <is>
          <t>Restaurant OpEx</t>
        </is>
      </c>
      <c r="B16" s="43" t="n">
        <v>0</v>
      </c>
      <c r="C16" s="43" t="n">
        <v>0</v>
      </c>
      <c r="D16" s="43" t="n">
        <v>0</v>
      </c>
      <c r="E16" s="43" t="n">
        <v>0</v>
      </c>
      <c r="F16" s="43" t="n">
        <v>0</v>
      </c>
      <c r="G16" s="43" t="n">
        <v>0</v>
      </c>
      <c r="H16" s="43" t="n">
        <v>0</v>
      </c>
      <c r="I16" s="43" t="n">
        <v>0</v>
      </c>
      <c r="J16" s="43" t="n">
        <v>0</v>
      </c>
      <c r="K16" s="43" t="n">
        <v>0</v>
      </c>
    </row>
    <row r="17">
      <c r="A17" s="42" t="inlineStr">
        <is>
          <t>TOTAL OPERATING EXPENSES</t>
        </is>
      </c>
      <c r="B17" s="43" t="n">
        <v>0</v>
      </c>
      <c r="C17" s="43" t="n">
        <v>0</v>
      </c>
      <c r="D17" s="43" t="n">
        <v>0</v>
      </c>
      <c r="E17" s="43" t="n">
        <v>0</v>
      </c>
      <c r="F17" s="43" t="n">
        <v>0</v>
      </c>
      <c r="G17" s="43" t="n">
        <v>0</v>
      </c>
      <c r="H17" s="43" t="n">
        <v>0</v>
      </c>
      <c r="I17" s="43" t="n">
        <v>0</v>
      </c>
      <c r="J17" s="43" t="n">
        <v>0</v>
      </c>
      <c r="K17" s="43" t="n">
        <v>0</v>
      </c>
    </row>
    <row r="18">
      <c r="A18" s="4" t="inlineStr"/>
    </row>
    <row r="19">
      <c r="A19" s="42" t="inlineStr">
        <is>
          <t>NET OPERATING INCOME</t>
        </is>
      </c>
      <c r="B19" s="41" t="n">
        <v>0</v>
      </c>
      <c r="C19" s="41" t="n">
        <v>0</v>
      </c>
      <c r="D19" s="41" t="n">
        <v>0</v>
      </c>
      <c r="E19" s="41" t="n">
        <v>0</v>
      </c>
      <c r="F19" s="41" t="n">
        <v>0</v>
      </c>
      <c r="G19" s="41" t="n">
        <v>0</v>
      </c>
      <c r="H19" s="41" t="n">
        <v>0</v>
      </c>
      <c r="I19" s="41" t="n">
        <v>0</v>
      </c>
      <c r="J19" s="41" t="n">
        <v>0</v>
      </c>
      <c r="K19" s="41" t="n">
        <v>0</v>
      </c>
    </row>
    <row r="20">
      <c r="A20" s="44" t="inlineStr">
        <is>
          <t>NOI Margin %</t>
        </is>
      </c>
      <c r="B20" s="45" t="n">
        <v>0</v>
      </c>
      <c r="C20" s="45" t="n">
        <v>0</v>
      </c>
      <c r="D20" s="45" t="n">
        <v>0</v>
      </c>
      <c r="E20" s="45" t="n">
        <v>0</v>
      </c>
      <c r="F20" s="45" t="n">
        <v>0</v>
      </c>
      <c r="G20" s="45" t="n">
        <v>0</v>
      </c>
      <c r="H20" s="45" t="n">
        <v>0</v>
      </c>
      <c r="I20" s="45" t="n">
        <v>0</v>
      </c>
      <c r="J20" s="45" t="n">
        <v>0</v>
      </c>
      <c r="K20" s="45" t="n">
        <v>0</v>
      </c>
    </row>
  </sheetData>
  <mergeCells count="2">
    <mergeCell ref="A2:M2"/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cols>
    <col width="32" customWidth="1" min="1" max="1"/>
  </cols>
  <sheetData>
    <row r="1">
      <c r="A1" s="8" t="inlineStr">
        <is>
          <t>INVESTMENT CASH FLOW ANALYSIS</t>
        </is>
      </c>
    </row>
    <row r="4">
      <c r="A4" s="3" t="inlineStr">
        <is>
          <t>Item</t>
        </is>
      </c>
      <c r="B4" s="3" t="inlineStr">
        <is>
          <t>Year 0</t>
        </is>
      </c>
      <c r="C4" s="3" t="inlineStr">
        <is>
          <t>Year 1</t>
        </is>
      </c>
      <c r="D4" s="3" t="inlineStr">
        <is>
          <t>Year 2</t>
        </is>
      </c>
      <c r="E4" s="3" t="inlineStr">
        <is>
          <t>Year 3</t>
        </is>
      </c>
      <c r="F4" s="3" t="inlineStr">
        <is>
          <t>Year 4</t>
        </is>
      </c>
      <c r="G4" s="3" t="inlineStr">
        <is>
          <t>Year 5</t>
        </is>
      </c>
      <c r="H4" s="3" t="inlineStr">
        <is>
          <t>Year 6</t>
        </is>
      </c>
      <c r="I4" s="3" t="inlineStr">
        <is>
          <t>Year 7</t>
        </is>
      </c>
      <c r="J4" s="3" t="inlineStr">
        <is>
          <t>Year 8</t>
        </is>
      </c>
      <c r="K4" s="3" t="inlineStr">
        <is>
          <t>Year 9</t>
        </is>
      </c>
      <c r="L4" s="3" t="inlineStr">
        <is>
          <t>Year 10</t>
        </is>
      </c>
    </row>
    <row r="5">
      <c r="A5" s="46" t="inlineStr">
        <is>
          <t>Sources of Funds</t>
        </is>
      </c>
    </row>
    <row r="6">
      <c r="A6" s="4" t="inlineStr">
        <is>
          <t>Equity Investment</t>
        </is>
      </c>
      <c r="B6" s="41" t="n">
        <v>0</v>
      </c>
      <c r="C6" s="41" t="n">
        <v>0</v>
      </c>
      <c r="D6" s="41" t="n">
        <v>0</v>
      </c>
      <c r="E6" s="41" t="n">
        <v>0</v>
      </c>
      <c r="F6" s="41" t="n">
        <v>0</v>
      </c>
      <c r="G6" s="41" t="n">
        <v>0</v>
      </c>
      <c r="H6" s="41" t="n">
        <v>0</v>
      </c>
      <c r="I6" s="41" t="n">
        <v>0</v>
      </c>
      <c r="J6" s="41" t="n">
        <v>0</v>
      </c>
      <c r="K6" s="41" t="n">
        <v>0</v>
      </c>
      <c r="L6" s="41" t="n">
        <v>0</v>
      </c>
    </row>
    <row r="7">
      <c r="A7" s="4" t="inlineStr">
        <is>
          <t>Debt Proceeds</t>
        </is>
      </c>
      <c r="B7" s="41" t="n">
        <v>0</v>
      </c>
      <c r="C7" s="41" t="n">
        <v>0</v>
      </c>
      <c r="D7" s="41" t="n">
        <v>0</v>
      </c>
      <c r="E7" s="41" t="n">
        <v>0</v>
      </c>
      <c r="F7" s="41" t="n">
        <v>0</v>
      </c>
      <c r="G7" s="41" t="n">
        <v>0</v>
      </c>
      <c r="H7" s="41" t="n">
        <v>0</v>
      </c>
      <c r="I7" s="41" t="n">
        <v>0</v>
      </c>
      <c r="J7" s="41" t="n">
        <v>0</v>
      </c>
      <c r="K7" s="41" t="n">
        <v>0</v>
      </c>
      <c r="L7" s="41" t="n">
        <v>0</v>
      </c>
    </row>
    <row r="8">
      <c r="A8" s="42" t="inlineStr">
        <is>
          <t>Total Sources</t>
        </is>
      </c>
      <c r="B8" s="41" t="n">
        <v>0</v>
      </c>
      <c r="C8" s="41" t="n">
        <v>0</v>
      </c>
      <c r="D8" s="41" t="n">
        <v>0</v>
      </c>
      <c r="E8" s="41" t="n">
        <v>0</v>
      </c>
      <c r="F8" s="41" t="n">
        <v>0</v>
      </c>
      <c r="G8" s="41" t="n">
        <v>0</v>
      </c>
      <c r="H8" s="41" t="n">
        <v>0</v>
      </c>
      <c r="I8" s="41" t="n">
        <v>0</v>
      </c>
      <c r="J8" s="41" t="n">
        <v>0</v>
      </c>
      <c r="K8" s="41" t="n">
        <v>0</v>
      </c>
      <c r="L8" s="41" t="n">
        <v>0</v>
      </c>
    </row>
    <row r="9">
      <c r="A9" s="4" t="inlineStr"/>
    </row>
    <row r="10">
      <c r="A10" s="46" t="inlineStr">
        <is>
          <t>Uses of Funds</t>
        </is>
      </c>
    </row>
    <row r="11">
      <c r="A11" s="4" t="inlineStr">
        <is>
          <t>Land Acquisition</t>
        </is>
      </c>
      <c r="B11" s="41" t="n">
        <v>0</v>
      </c>
      <c r="C11" s="41" t="n">
        <v>0</v>
      </c>
      <c r="D11" s="41" t="n">
        <v>0</v>
      </c>
      <c r="E11" s="41" t="n">
        <v>0</v>
      </c>
      <c r="F11" s="41" t="n">
        <v>0</v>
      </c>
      <c r="G11" s="41" t="n">
        <v>0</v>
      </c>
      <c r="H11" s="41" t="n">
        <v>0</v>
      </c>
      <c r="I11" s="41" t="n">
        <v>0</v>
      </c>
      <c r="J11" s="41" t="n">
        <v>0</v>
      </c>
      <c r="K11" s="41" t="n">
        <v>0</v>
      </c>
      <c r="L11" s="41" t="n">
        <v>0</v>
      </c>
    </row>
    <row r="12">
      <c r="A12" s="4" t="inlineStr">
        <is>
          <t>Hard Costs</t>
        </is>
      </c>
      <c r="B12" s="41" t="n">
        <v>0</v>
      </c>
      <c r="C12" s="41" t="n">
        <v>0</v>
      </c>
      <c r="D12" s="41" t="n">
        <v>0</v>
      </c>
      <c r="E12" s="41" t="n">
        <v>0</v>
      </c>
      <c r="F12" s="41" t="n">
        <v>0</v>
      </c>
      <c r="G12" s="41" t="n">
        <v>0</v>
      </c>
      <c r="H12" s="41" t="n">
        <v>0</v>
      </c>
      <c r="I12" s="41" t="n">
        <v>0</v>
      </c>
      <c r="J12" s="41" t="n">
        <v>0</v>
      </c>
      <c r="K12" s="41" t="n">
        <v>0</v>
      </c>
      <c r="L12" s="41" t="n">
        <v>0</v>
      </c>
    </row>
    <row r="13">
      <c r="A13" s="4" t="inlineStr">
        <is>
          <t>Soft Costs</t>
        </is>
      </c>
      <c r="B13" s="41" t="n">
        <v>0</v>
      </c>
      <c r="C13" s="41" t="n">
        <v>0</v>
      </c>
      <c r="D13" s="41" t="n">
        <v>0</v>
      </c>
      <c r="E13" s="41" t="n">
        <v>0</v>
      </c>
      <c r="F13" s="41" t="n">
        <v>0</v>
      </c>
      <c r="G13" s="41" t="n">
        <v>0</v>
      </c>
      <c r="H13" s="41" t="n">
        <v>0</v>
      </c>
      <c r="I13" s="41" t="n">
        <v>0</v>
      </c>
      <c r="J13" s="41" t="n">
        <v>0</v>
      </c>
      <c r="K13" s="41" t="n">
        <v>0</v>
      </c>
      <c r="L13" s="41" t="n">
        <v>0</v>
      </c>
    </row>
    <row r="14">
      <c r="A14" s="4" t="inlineStr">
        <is>
          <t>FF&amp;E</t>
        </is>
      </c>
      <c r="B14" s="41" t="n">
        <v>0</v>
      </c>
      <c r="C14" s="41" t="n">
        <v>0</v>
      </c>
      <c r="D14" s="41" t="n">
        <v>0</v>
      </c>
      <c r="E14" s="41" t="n">
        <v>0</v>
      </c>
      <c r="F14" s="41" t="n">
        <v>0</v>
      </c>
      <c r="G14" s="41" t="n">
        <v>0</v>
      </c>
      <c r="H14" s="41" t="n">
        <v>0</v>
      </c>
      <c r="I14" s="41" t="n">
        <v>0</v>
      </c>
      <c r="J14" s="41" t="n">
        <v>0</v>
      </c>
      <c r="K14" s="41" t="n">
        <v>0</v>
      </c>
      <c r="L14" s="41" t="n">
        <v>0</v>
      </c>
    </row>
    <row r="15">
      <c r="A15" s="4" t="inlineStr">
        <is>
          <t>Developer Fee</t>
        </is>
      </c>
      <c r="B15" s="41" t="n">
        <v>0</v>
      </c>
      <c r="C15" s="41" t="n">
        <v>0</v>
      </c>
      <c r="D15" s="41" t="n">
        <v>0</v>
      </c>
      <c r="E15" s="41" t="n">
        <v>0</v>
      </c>
      <c r="F15" s="41" t="n">
        <v>0</v>
      </c>
      <c r="G15" s="41" t="n">
        <v>0</v>
      </c>
      <c r="H15" s="41" t="n">
        <v>0</v>
      </c>
      <c r="I15" s="41" t="n">
        <v>0</v>
      </c>
      <c r="J15" s="41" t="n">
        <v>0</v>
      </c>
      <c r="K15" s="41" t="n">
        <v>0</v>
      </c>
      <c r="L15" s="41" t="n">
        <v>0</v>
      </c>
    </row>
    <row r="16">
      <c r="A16" s="4" t="inlineStr">
        <is>
          <t>Financing Fees</t>
        </is>
      </c>
      <c r="B16" s="41" t="n">
        <v>0</v>
      </c>
      <c r="C16" s="41" t="n">
        <v>0</v>
      </c>
      <c r="D16" s="41" t="n">
        <v>0</v>
      </c>
      <c r="E16" s="41" t="n">
        <v>0</v>
      </c>
      <c r="F16" s="41" t="n">
        <v>0</v>
      </c>
      <c r="G16" s="41" t="n">
        <v>0</v>
      </c>
      <c r="H16" s="41" t="n">
        <v>0</v>
      </c>
      <c r="I16" s="41" t="n">
        <v>0</v>
      </c>
      <c r="J16" s="41" t="n">
        <v>0</v>
      </c>
      <c r="K16" s="41" t="n">
        <v>0</v>
      </c>
      <c r="L16" s="41" t="n">
        <v>0</v>
      </c>
    </row>
    <row r="17">
      <c r="A17" s="42" t="inlineStr">
        <is>
          <t>Total Uses</t>
        </is>
      </c>
      <c r="B17" s="41" t="n">
        <v>0</v>
      </c>
      <c r="C17" s="41" t="n">
        <v>0</v>
      </c>
      <c r="D17" s="41" t="n">
        <v>0</v>
      </c>
      <c r="E17" s="41" t="n">
        <v>0</v>
      </c>
      <c r="F17" s="41" t="n">
        <v>0</v>
      </c>
      <c r="G17" s="41" t="n">
        <v>0</v>
      </c>
      <c r="H17" s="41" t="n">
        <v>0</v>
      </c>
      <c r="I17" s="41" t="n">
        <v>0</v>
      </c>
      <c r="J17" s="41" t="n">
        <v>0</v>
      </c>
      <c r="K17" s="41" t="n">
        <v>0</v>
      </c>
      <c r="L17" s="41" t="n">
        <v>0</v>
      </c>
    </row>
    <row r="18">
      <c r="A18" s="4" t="inlineStr"/>
    </row>
    <row r="19">
      <c r="A19" s="46" t="inlineStr">
        <is>
          <t>Operating Cash Flow</t>
        </is>
      </c>
    </row>
    <row r="20">
      <c r="A20" s="4" t="inlineStr">
        <is>
          <t>Net Operating Income</t>
        </is>
      </c>
      <c r="B20" s="41" t="n">
        <v>0</v>
      </c>
      <c r="C20" s="41" t="n">
        <v>0</v>
      </c>
      <c r="D20" s="41" t="n">
        <v>0</v>
      </c>
      <c r="E20" s="41" t="n">
        <v>0</v>
      </c>
      <c r="F20" s="41" t="n">
        <v>0</v>
      </c>
      <c r="G20" s="41" t="n">
        <v>0</v>
      </c>
      <c r="H20" s="41" t="n">
        <v>0</v>
      </c>
      <c r="I20" s="41" t="n">
        <v>0</v>
      </c>
      <c r="J20" s="41" t="n">
        <v>0</v>
      </c>
      <c r="K20" s="41" t="n">
        <v>0</v>
      </c>
      <c r="L20" s="41" t="n">
        <v>0</v>
      </c>
    </row>
    <row r="21">
      <c r="A21" s="4" t="inlineStr">
        <is>
          <t>Debt Service</t>
        </is>
      </c>
      <c r="B21" s="41" t="n">
        <v>0</v>
      </c>
      <c r="C21" s="41" t="n">
        <v>0</v>
      </c>
      <c r="D21" s="41" t="n">
        <v>0</v>
      </c>
      <c r="E21" s="41" t="n">
        <v>0</v>
      </c>
      <c r="F21" s="41" t="n">
        <v>0</v>
      </c>
      <c r="G21" s="41" t="n">
        <v>0</v>
      </c>
      <c r="H21" s="41" t="n">
        <v>0</v>
      </c>
      <c r="I21" s="41" t="n">
        <v>0</v>
      </c>
      <c r="J21" s="41" t="n">
        <v>0</v>
      </c>
      <c r="K21" s="41" t="n">
        <v>0</v>
      </c>
      <c r="L21" s="41" t="n">
        <v>0</v>
      </c>
    </row>
    <row r="22">
      <c r="A22" s="42" t="inlineStr">
        <is>
          <t>Before-Tax Cash Flow</t>
        </is>
      </c>
      <c r="B22" s="41" t="n">
        <v>0</v>
      </c>
      <c r="C22" s="41" t="n">
        <v>0</v>
      </c>
      <c r="D22" s="41" t="n">
        <v>0</v>
      </c>
      <c r="E22" s="41" t="n">
        <v>0</v>
      </c>
      <c r="F22" s="41" t="n">
        <v>0</v>
      </c>
      <c r="G22" s="41" t="n">
        <v>0</v>
      </c>
      <c r="H22" s="41" t="n">
        <v>0</v>
      </c>
      <c r="I22" s="41" t="n">
        <v>0</v>
      </c>
      <c r="J22" s="41" t="n">
        <v>0</v>
      </c>
      <c r="K22" s="41" t="n">
        <v>0</v>
      </c>
      <c r="L22" s="41" t="n">
        <v>0</v>
      </c>
    </row>
    <row r="23">
      <c r="A23" s="4" t="inlineStr"/>
    </row>
    <row r="24">
      <c r="A24" s="46" t="inlineStr">
        <is>
          <t>Reversion (Exit)</t>
        </is>
      </c>
    </row>
    <row r="25">
      <c r="A25" s="4" t="inlineStr">
        <is>
          <t>Sale Proceeds</t>
        </is>
      </c>
      <c r="B25" s="41" t="n">
        <v>0</v>
      </c>
      <c r="C25" s="41" t="n">
        <v>0</v>
      </c>
      <c r="D25" s="41" t="n">
        <v>0</v>
      </c>
      <c r="E25" s="41" t="n">
        <v>0</v>
      </c>
      <c r="F25" s="41" t="n">
        <v>0</v>
      </c>
      <c r="G25" s="41" t="n">
        <v>0</v>
      </c>
      <c r="H25" s="41" t="n">
        <v>0</v>
      </c>
      <c r="I25" s="41" t="n">
        <v>0</v>
      </c>
      <c r="J25" s="41" t="n">
        <v>0</v>
      </c>
      <c r="K25" s="41" t="n">
        <v>0</v>
      </c>
      <c r="L25" s="41" t="n">
        <v>0</v>
      </c>
    </row>
    <row r="26">
      <c r="A26" s="4" t="inlineStr">
        <is>
          <t>Loan Payoff</t>
        </is>
      </c>
      <c r="B26" s="41" t="n">
        <v>0</v>
      </c>
      <c r="C26" s="41" t="n">
        <v>0</v>
      </c>
      <c r="D26" s="41" t="n">
        <v>0</v>
      </c>
      <c r="E26" s="41" t="n">
        <v>0</v>
      </c>
      <c r="F26" s="41" t="n">
        <v>0</v>
      </c>
      <c r="G26" s="41" t="n">
        <v>0</v>
      </c>
      <c r="H26" s="41" t="n">
        <v>0</v>
      </c>
      <c r="I26" s="41" t="n">
        <v>0</v>
      </c>
      <c r="J26" s="41" t="n">
        <v>0</v>
      </c>
      <c r="K26" s="41" t="n">
        <v>0</v>
      </c>
      <c r="L26" s="41" t="n">
        <v>0</v>
      </c>
    </row>
    <row r="27">
      <c r="A27" s="4" t="inlineStr">
        <is>
          <t>Selling Costs</t>
        </is>
      </c>
      <c r="B27" s="41" t="n">
        <v>0</v>
      </c>
      <c r="C27" s="41" t="n">
        <v>0</v>
      </c>
      <c r="D27" s="41" t="n">
        <v>0</v>
      </c>
      <c r="E27" s="41" t="n">
        <v>0</v>
      </c>
      <c r="F27" s="41" t="n">
        <v>0</v>
      </c>
      <c r="G27" s="41" t="n">
        <v>0</v>
      </c>
      <c r="H27" s="41" t="n">
        <v>0</v>
      </c>
      <c r="I27" s="41" t="n">
        <v>0</v>
      </c>
      <c r="J27" s="41" t="n">
        <v>0</v>
      </c>
      <c r="K27" s="41" t="n">
        <v>0</v>
      </c>
      <c r="L27" s="41" t="n">
        <v>0</v>
      </c>
    </row>
    <row r="28">
      <c r="A28" s="42" t="inlineStr">
        <is>
          <t>Net Sale Proceeds</t>
        </is>
      </c>
      <c r="B28" s="41" t="n">
        <v>0</v>
      </c>
      <c r="C28" s="41" t="n">
        <v>0</v>
      </c>
      <c r="D28" s="41" t="n">
        <v>0</v>
      </c>
      <c r="E28" s="41" t="n">
        <v>0</v>
      </c>
      <c r="F28" s="41" t="n">
        <v>0</v>
      </c>
      <c r="G28" s="41" t="n">
        <v>0</v>
      </c>
      <c r="H28" s="41" t="n">
        <v>0</v>
      </c>
      <c r="I28" s="41" t="n">
        <v>0</v>
      </c>
      <c r="J28" s="41" t="n">
        <v>0</v>
      </c>
      <c r="K28" s="41" t="n">
        <v>0</v>
      </c>
      <c r="L28" s="41" t="n">
        <v>0</v>
      </c>
    </row>
    <row r="29">
      <c r="A29" s="4" t="inlineStr"/>
    </row>
    <row r="30">
      <c r="A30" s="42" t="inlineStr">
        <is>
          <t>TOTAL CASH FLOW</t>
        </is>
      </c>
      <c r="B30" s="41" t="n">
        <v>0</v>
      </c>
      <c r="C30" s="41" t="n">
        <v>0</v>
      </c>
      <c r="D30" s="41" t="n">
        <v>0</v>
      </c>
      <c r="E30" s="41" t="n">
        <v>0</v>
      </c>
      <c r="F30" s="41" t="n">
        <v>0</v>
      </c>
      <c r="G30" s="41" t="n">
        <v>0</v>
      </c>
      <c r="H30" s="41" t="n">
        <v>0</v>
      </c>
      <c r="I30" s="41" t="n">
        <v>0</v>
      </c>
      <c r="J30" s="41" t="n">
        <v>0</v>
      </c>
      <c r="K30" s="41" t="n">
        <v>0</v>
      </c>
      <c r="L30" s="41" t="n">
        <v>0</v>
      </c>
    </row>
  </sheetData>
  <mergeCells count="1"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8" t="inlineStr">
        <is>
          <t>RETURNS &amp; PERFORMANCE METRICS</t>
        </is>
      </c>
    </row>
    <row r="3">
      <c r="A3" s="3" t="inlineStr">
        <is>
          <t>KEY INVESTMENT RETURNS</t>
        </is>
      </c>
    </row>
    <row r="4">
      <c r="A4" s="4" t="inlineStr">
        <is>
          <t>Levered IRR</t>
        </is>
      </c>
      <c r="B4" s="30" t="n">
        <v>0</v>
      </c>
    </row>
    <row r="5">
      <c r="A5" s="4" t="inlineStr">
        <is>
          <t>Unlevered IRR</t>
        </is>
      </c>
      <c r="B5" s="30" t="n">
        <v>0</v>
      </c>
    </row>
    <row r="6">
      <c r="A6" s="4" t="inlineStr">
        <is>
          <t>Equity Multiple (MOIC)</t>
        </is>
      </c>
      <c r="B6" s="31" t="n">
        <v>0</v>
      </c>
    </row>
    <row r="7">
      <c r="A7" s="4" t="inlineStr">
        <is>
          <t>Average Cash-on-Cash</t>
        </is>
      </c>
      <c r="B7" s="30" t="n">
        <v>0</v>
      </c>
    </row>
    <row r="8">
      <c r="A8" s="4" t="inlineStr">
        <is>
          <t>Total Equity Invested</t>
        </is>
      </c>
      <c r="B8" s="29" t="n">
        <v>0</v>
      </c>
    </row>
    <row r="9">
      <c r="A9" s="4" t="inlineStr">
        <is>
          <t>Total Cash Returned</t>
        </is>
      </c>
      <c r="B9" s="29" t="n">
        <v>0</v>
      </c>
    </row>
    <row r="10">
      <c r="A10" s="4" t="inlineStr">
        <is>
          <t>Net Profit</t>
        </is>
      </c>
      <c r="B10" s="29" t="n">
        <v>0</v>
      </c>
    </row>
    <row r="13">
      <c r="A13" s="3" t="inlineStr">
        <is>
          <t>RETURNS BY COMPONENT</t>
        </is>
      </c>
    </row>
    <row r="14">
      <c r="A14" s="40" t="inlineStr">
        <is>
          <t>Component</t>
        </is>
      </c>
      <c r="B14" s="40" t="inlineStr">
        <is>
          <t>Stabilized NOI</t>
        </is>
      </c>
      <c r="C14" s="40" t="inlineStr">
        <is>
          <t>Exit Value</t>
        </is>
      </c>
      <c r="D14" s="40" t="inlineStr">
        <is>
          <t>Cap Rate</t>
        </is>
      </c>
      <c r="E14" s="40" t="inlineStr">
        <is>
          <t>IRR Contribution</t>
        </is>
      </c>
    </row>
    <row r="15">
      <c r="A15" s="4" t="inlineStr">
        <is>
          <t>Multifamily</t>
        </is>
      </c>
      <c r="B15" s="41" t="n">
        <v>0</v>
      </c>
      <c r="C15" s="41" t="n">
        <v>0</v>
      </c>
      <c r="D15" s="45" t="n">
        <v>0</v>
      </c>
      <c r="E15" s="45" t="n">
        <v>0</v>
      </c>
    </row>
    <row r="16">
      <c r="A16" s="4" t="inlineStr">
        <is>
          <t>Office</t>
        </is>
      </c>
      <c r="B16" s="41" t="n">
        <v>0</v>
      </c>
      <c r="C16" s="41" t="n">
        <v>0</v>
      </c>
      <c r="D16" s="45" t="n">
        <v>0</v>
      </c>
      <c r="E16" s="45" t="n">
        <v>0</v>
      </c>
    </row>
    <row r="17">
      <c r="A17" s="4" t="inlineStr">
        <is>
          <t>Retail</t>
        </is>
      </c>
      <c r="B17" s="41" t="n">
        <v>0</v>
      </c>
      <c r="C17" s="41" t="n">
        <v>0</v>
      </c>
      <c r="D17" s="45" t="n">
        <v>0</v>
      </c>
      <c r="E17" s="45" t="n">
        <v>0</v>
      </c>
    </row>
    <row r="18">
      <c r="A18" s="4" t="inlineStr">
        <is>
          <t>Hotel</t>
        </is>
      </c>
      <c r="B18" s="41" t="n">
        <v>0</v>
      </c>
      <c r="C18" s="41" t="n">
        <v>0</v>
      </c>
      <c r="D18" s="45" t="n">
        <v>0</v>
      </c>
      <c r="E18" s="45" t="n">
        <v>0</v>
      </c>
    </row>
    <row r="19">
      <c r="A19" s="4" t="inlineStr">
        <is>
          <t>Restaurant</t>
        </is>
      </c>
      <c r="B19" s="41" t="n">
        <v>0</v>
      </c>
      <c r="C19" s="41" t="n">
        <v>0</v>
      </c>
      <c r="D19" s="45" t="n">
        <v>0</v>
      </c>
      <c r="E19" s="45" t="n">
        <v>0</v>
      </c>
    </row>
    <row r="20">
      <c r="A20" s="35" t="inlineStr">
        <is>
          <t>TOTAL</t>
        </is>
      </c>
      <c r="B20" s="41" t="n">
        <v>0</v>
      </c>
      <c r="C20" s="41" t="n">
        <v>0</v>
      </c>
      <c r="D20" s="45" t="n">
        <v>0</v>
      </c>
      <c r="E20" s="45" t="n">
        <v>0</v>
      </c>
    </row>
  </sheetData>
  <mergeCells count="3">
    <mergeCell ref="A1:F1"/>
    <mergeCell ref="A3:D3"/>
    <mergeCell ref="A13:E1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8" t="inlineStr">
        <is>
          <t>SENSITIVITY ANALYSIS</t>
        </is>
      </c>
    </row>
    <row r="3">
      <c r="A3" s="3" t="inlineStr">
        <is>
          <t>LEVERED IRR SENSITIVITY</t>
        </is>
      </c>
    </row>
    <row r="5">
      <c r="A5" s="35" t="inlineStr">
        <is>
          <t>Exit Cap Rate →</t>
        </is>
      </c>
      <c r="B5" s="47" t="n">
        <v>0.045</v>
      </c>
      <c r="C5" s="47" t="n">
        <v>0.05</v>
      </c>
      <c r="D5" s="47" t="n">
        <v>0.055</v>
      </c>
      <c r="E5" s="47" t="n">
        <v>0.06</v>
      </c>
      <c r="F5" s="47" t="n">
        <v>0.065</v>
      </c>
      <c r="G5" s="47" t="n">
        <v>0.07000000000000001</v>
      </c>
      <c r="H5" s="47" t="n">
        <v>0.075</v>
      </c>
      <c r="I5" s="47" t="n">
        <v>0.08</v>
      </c>
      <c r="J5" s="47" t="n">
        <v>0.08500000000000001</v>
      </c>
      <c r="K5" s="47" t="n">
        <v>0.09</v>
      </c>
    </row>
    <row r="6">
      <c r="A6" s="35" t="inlineStr">
        <is>
          <t>Dev Cost/SF ↓</t>
        </is>
      </c>
    </row>
    <row r="7">
      <c r="A7" s="48" t="n">
        <v>375</v>
      </c>
      <c r="B7" s="25" t="n">
        <v>0.15</v>
      </c>
      <c r="C7" s="25" t="n">
        <v>0.15</v>
      </c>
      <c r="D7" s="25" t="n">
        <v>0.15</v>
      </c>
      <c r="E7" s="25" t="n">
        <v>0.15</v>
      </c>
      <c r="F7" s="25" t="n">
        <v>0.15</v>
      </c>
      <c r="G7" s="25" t="n">
        <v>0.15</v>
      </c>
      <c r="H7" s="25" t="n">
        <v>0.15</v>
      </c>
      <c r="I7" s="25" t="n">
        <v>0.15</v>
      </c>
      <c r="J7" s="25" t="n">
        <v>0.15</v>
      </c>
      <c r="K7" s="25" t="n">
        <v>0.15</v>
      </c>
    </row>
    <row r="8">
      <c r="A8" s="48" t="n">
        <v>400</v>
      </c>
      <c r="B8" s="25" t="n">
        <v>0.15</v>
      </c>
      <c r="C8" s="25" t="n">
        <v>0.15</v>
      </c>
      <c r="D8" s="25" t="n">
        <v>0.15</v>
      </c>
      <c r="E8" s="25" t="n">
        <v>0.15</v>
      </c>
      <c r="F8" s="25" t="n">
        <v>0.15</v>
      </c>
      <c r="G8" s="25" t="n">
        <v>0.15</v>
      </c>
      <c r="H8" s="25" t="n">
        <v>0.15</v>
      </c>
      <c r="I8" s="25" t="n">
        <v>0.15</v>
      </c>
      <c r="J8" s="25" t="n">
        <v>0.15</v>
      </c>
      <c r="K8" s="25" t="n">
        <v>0.15</v>
      </c>
    </row>
    <row r="9">
      <c r="A9" s="48" t="n">
        <v>425</v>
      </c>
      <c r="B9" s="25" t="n">
        <v>0.15</v>
      </c>
      <c r="C9" s="25" t="n">
        <v>0.15</v>
      </c>
      <c r="D9" s="25" t="n">
        <v>0.15</v>
      </c>
      <c r="E9" s="25" t="n">
        <v>0.15</v>
      </c>
      <c r="F9" s="25" t="n">
        <v>0.15</v>
      </c>
      <c r="G9" s="25" t="n">
        <v>0.15</v>
      </c>
      <c r="H9" s="25" t="n">
        <v>0.15</v>
      </c>
      <c r="I9" s="25" t="n">
        <v>0.15</v>
      </c>
      <c r="J9" s="25" t="n">
        <v>0.15</v>
      </c>
      <c r="K9" s="25" t="n">
        <v>0.15</v>
      </c>
    </row>
    <row r="10">
      <c r="A10" s="48" t="n">
        <v>450</v>
      </c>
      <c r="B10" s="25" t="n">
        <v>0.15</v>
      </c>
      <c r="C10" s="25" t="n">
        <v>0.15</v>
      </c>
      <c r="D10" s="25" t="n">
        <v>0.15</v>
      </c>
      <c r="E10" s="25" t="n">
        <v>0.15</v>
      </c>
      <c r="F10" s="25" t="n">
        <v>0.15</v>
      </c>
      <c r="G10" s="25" t="n">
        <v>0.15</v>
      </c>
      <c r="H10" s="25" t="n">
        <v>0.15</v>
      </c>
      <c r="I10" s="25" t="n">
        <v>0.15</v>
      </c>
      <c r="J10" s="25" t="n">
        <v>0.15</v>
      </c>
      <c r="K10" s="25" t="n">
        <v>0.15</v>
      </c>
    </row>
    <row r="11">
      <c r="A11" s="48" t="n">
        <v>475</v>
      </c>
      <c r="B11" s="25" t="n">
        <v>0.15</v>
      </c>
      <c r="C11" s="25" t="n">
        <v>0.15</v>
      </c>
      <c r="D11" s="25" t="n">
        <v>0.15</v>
      </c>
      <c r="E11" s="25" t="n">
        <v>0.15</v>
      </c>
      <c r="F11" s="25" t="n">
        <v>0.15</v>
      </c>
      <c r="G11" s="25" t="n">
        <v>0.15</v>
      </c>
      <c r="H11" s="25" t="n">
        <v>0.15</v>
      </c>
      <c r="I11" s="25" t="n">
        <v>0.15</v>
      </c>
      <c r="J11" s="25" t="n">
        <v>0.15</v>
      </c>
      <c r="K11" s="25" t="n">
        <v>0.15</v>
      </c>
    </row>
    <row r="12">
      <c r="A12" s="48" t="n">
        <v>500</v>
      </c>
      <c r="B12" s="25" t="n">
        <v>0.15</v>
      </c>
      <c r="C12" s="25" t="n">
        <v>0.15</v>
      </c>
      <c r="D12" s="25" t="n">
        <v>0.15</v>
      </c>
      <c r="E12" s="25" t="n">
        <v>0.15</v>
      </c>
      <c r="F12" s="25" t="n">
        <v>0.15</v>
      </c>
      <c r="G12" s="25" t="n">
        <v>0.15</v>
      </c>
      <c r="H12" s="25" t="n">
        <v>0.15</v>
      </c>
      <c r="I12" s="25" t="n">
        <v>0.15</v>
      </c>
      <c r="J12" s="25" t="n">
        <v>0.15</v>
      </c>
      <c r="K12" s="25" t="n">
        <v>0.15</v>
      </c>
    </row>
    <row r="13">
      <c r="A13" s="48" t="n">
        <v>525</v>
      </c>
      <c r="B13" s="25" t="n">
        <v>0.15</v>
      </c>
      <c r="C13" s="25" t="n">
        <v>0.15</v>
      </c>
      <c r="D13" s="25" t="n">
        <v>0.15</v>
      </c>
      <c r="E13" s="25" t="n">
        <v>0.15</v>
      </c>
      <c r="F13" s="25" t="n">
        <v>0.15</v>
      </c>
      <c r="G13" s="25" t="n">
        <v>0.15</v>
      </c>
      <c r="H13" s="25" t="n">
        <v>0.15</v>
      </c>
      <c r="I13" s="25" t="n">
        <v>0.15</v>
      </c>
      <c r="J13" s="25" t="n">
        <v>0.15</v>
      </c>
      <c r="K13" s="25" t="n">
        <v>0.15</v>
      </c>
    </row>
    <row r="14">
      <c r="A14" s="48" t="n">
        <v>550</v>
      </c>
      <c r="B14" s="25" t="n">
        <v>0.15</v>
      </c>
      <c r="C14" s="25" t="n">
        <v>0.15</v>
      </c>
      <c r="D14" s="25" t="n">
        <v>0.15</v>
      </c>
      <c r="E14" s="25" t="n">
        <v>0.15</v>
      </c>
      <c r="F14" s="25" t="n">
        <v>0.15</v>
      </c>
      <c r="G14" s="25" t="n">
        <v>0.15</v>
      </c>
      <c r="H14" s="25" t="n">
        <v>0.15</v>
      </c>
      <c r="I14" s="25" t="n">
        <v>0.15</v>
      </c>
      <c r="J14" s="25" t="n">
        <v>0.15</v>
      </c>
      <c r="K14" s="25" t="n">
        <v>0.15</v>
      </c>
    </row>
    <row r="17">
      <c r="A17" s="3" t="inlineStr">
        <is>
          <t>IRR BY ALLOCATION MIX</t>
        </is>
      </c>
    </row>
    <row r="18">
      <c r="A18" s="40" t="inlineStr">
        <is>
          <t>Scenario</t>
        </is>
      </c>
      <c r="B18" s="40" t="inlineStr">
        <is>
          <t>MF %</t>
        </is>
      </c>
      <c r="C18" s="40" t="inlineStr">
        <is>
          <t>Office %</t>
        </is>
      </c>
      <c r="D18" s="40" t="inlineStr">
        <is>
          <t>Retail %</t>
        </is>
      </c>
      <c r="E18" s="40" t="inlineStr">
        <is>
          <t>Hotel %</t>
        </is>
      </c>
      <c r="F18" s="40" t="inlineStr">
        <is>
          <t>IRR</t>
        </is>
      </c>
    </row>
    <row r="19">
      <c r="A19">
        <f>'Allocation Scenarios'!A6</f>
        <v/>
      </c>
      <c r="B19" s="45">
        <f>'Allocation Scenarios'!B6</f>
        <v/>
      </c>
      <c r="C19" s="45">
        <f>'Allocation Scenarios'!C6</f>
        <v/>
      </c>
      <c r="D19" s="45">
        <f>'Allocation Scenarios'!D6</f>
        <v/>
      </c>
      <c r="E19" s="45">
        <f>'Allocation Scenarios'!E6</f>
        <v/>
      </c>
      <c r="F19" s="30">
        <f>'Allocation Scenarios'!H6</f>
        <v/>
      </c>
    </row>
    <row r="20">
      <c r="A20">
        <f>'Allocation Scenarios'!A7</f>
        <v/>
      </c>
      <c r="B20" s="45">
        <f>'Allocation Scenarios'!B7</f>
        <v/>
      </c>
      <c r="C20" s="45">
        <f>'Allocation Scenarios'!C7</f>
        <v/>
      </c>
      <c r="D20" s="45">
        <f>'Allocation Scenarios'!D7</f>
        <v/>
      </c>
      <c r="E20" s="45">
        <f>'Allocation Scenarios'!E7</f>
        <v/>
      </c>
      <c r="F20" s="30">
        <f>'Allocation Scenarios'!H7</f>
        <v/>
      </c>
    </row>
    <row r="21">
      <c r="A21">
        <f>'Allocation Scenarios'!A8</f>
        <v/>
      </c>
      <c r="B21" s="45">
        <f>'Allocation Scenarios'!B8</f>
        <v/>
      </c>
      <c r="C21" s="45">
        <f>'Allocation Scenarios'!C8</f>
        <v/>
      </c>
      <c r="D21" s="45">
        <f>'Allocation Scenarios'!D8</f>
        <v/>
      </c>
      <c r="E21" s="45">
        <f>'Allocation Scenarios'!E8</f>
        <v/>
      </c>
      <c r="F21" s="30">
        <f>'Allocation Scenarios'!H8</f>
        <v/>
      </c>
    </row>
    <row r="22">
      <c r="A22">
        <f>'Allocation Scenarios'!A9</f>
        <v/>
      </c>
      <c r="B22" s="45">
        <f>'Allocation Scenarios'!B9</f>
        <v/>
      </c>
      <c r="C22" s="45">
        <f>'Allocation Scenarios'!C9</f>
        <v/>
      </c>
      <c r="D22" s="45">
        <f>'Allocation Scenarios'!D9</f>
        <v/>
      </c>
      <c r="E22" s="45">
        <f>'Allocation Scenarios'!E9</f>
        <v/>
      </c>
      <c r="F22" s="30">
        <f>'Allocation Scenarios'!H9</f>
        <v/>
      </c>
    </row>
    <row r="23">
      <c r="A23">
        <f>'Allocation Scenarios'!A10</f>
        <v/>
      </c>
      <c r="B23" s="45">
        <f>'Allocation Scenarios'!B10</f>
        <v/>
      </c>
      <c r="C23" s="45">
        <f>'Allocation Scenarios'!C10</f>
        <v/>
      </c>
      <c r="D23" s="45">
        <f>'Allocation Scenarios'!D10</f>
        <v/>
      </c>
      <c r="E23" s="45">
        <f>'Allocation Scenarios'!E10</f>
        <v/>
      </c>
      <c r="F23" s="30">
        <f>'Allocation Scenarios'!H10</f>
        <v/>
      </c>
    </row>
    <row r="24">
      <c r="A24">
        <f>'Allocation Scenarios'!A11</f>
        <v/>
      </c>
      <c r="B24" s="45">
        <f>'Allocation Scenarios'!B11</f>
        <v/>
      </c>
      <c r="C24" s="45">
        <f>'Allocation Scenarios'!C11</f>
        <v/>
      </c>
      <c r="D24" s="45">
        <f>'Allocation Scenarios'!D11</f>
        <v/>
      </c>
      <c r="E24" s="45">
        <f>'Allocation Scenarios'!E11</f>
        <v/>
      </c>
      <c r="F24" s="30">
        <f>'Allocation Scenarios'!H11</f>
        <v/>
      </c>
    </row>
    <row r="25">
      <c r="A25">
        <f>'Allocation Scenarios'!A12</f>
        <v/>
      </c>
      <c r="B25" s="45">
        <f>'Allocation Scenarios'!B12</f>
        <v/>
      </c>
      <c r="C25" s="45">
        <f>'Allocation Scenarios'!C12</f>
        <v/>
      </c>
      <c r="D25" s="45">
        <f>'Allocation Scenarios'!D12</f>
        <v/>
      </c>
      <c r="E25" s="45">
        <f>'Allocation Scenarios'!E12</f>
        <v/>
      </c>
      <c r="F25" s="30">
        <f>'Allocation Scenarios'!H12</f>
        <v/>
      </c>
    </row>
    <row r="26">
      <c r="A26">
        <f>'Allocation Scenarios'!A13</f>
        <v/>
      </c>
      <c r="B26" s="45">
        <f>'Allocation Scenarios'!B13</f>
        <v/>
      </c>
      <c r="C26" s="45">
        <f>'Allocation Scenarios'!C13</f>
        <v/>
      </c>
      <c r="D26" s="45">
        <f>'Allocation Scenarios'!D13</f>
        <v/>
      </c>
      <c r="E26" s="45">
        <f>'Allocation Scenarios'!E13</f>
        <v/>
      </c>
      <c r="F26" s="30">
        <f>'Allocation Scenarios'!H13</f>
        <v/>
      </c>
    </row>
  </sheetData>
  <mergeCells count="3">
    <mergeCell ref="A1:K1"/>
    <mergeCell ref="A17:F17"/>
    <mergeCell ref="A3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2025-11-02T20:11:02Z</dcterms:created>
  <dcterms:modified xmlns:dcterms="http://purl.org/dc/terms/" xmlns:xsi="http://www.w3.org/2001/XMLSchema-instance" xsi:type="dcterms:W3CDTF">2025-11-02T20:13:10Z</dcterms:modified>
</cp:coreProperties>
</file>