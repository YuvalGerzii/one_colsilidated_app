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ubdivision" sheetId="3" state="visible" r:id="rId3"/>
    <sheet xmlns:r="http://schemas.openxmlformats.org/officeDocument/2006/relationships"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2"/>
    </font>
    <font>
      <b val="1"/>
    </font>
    <font>
      <b val="1"/>
      <color rgb="00FFFFFF"/>
    </font>
    <font>
      <b val="1"/>
      <color rgb="00FFFFFF"/>
      <sz val="16"/>
    </font>
    <font>
      <b val="1"/>
      <sz val="14"/>
    </font>
    <font>
      <b val="1"/>
      <u val="single"/>
    </font>
  </fonts>
  <fills count="6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E8E8E8"/>
        <bgColor rgb="00E8E8E8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" fontId="0" fillId="4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164" fontId="2" fillId="5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5" customWidth="1" min="4" max="4"/>
    <col width="15" customWidth="1" min="5" max="5"/>
  </cols>
  <sheetData>
    <row r="1" ht="30" customHeight="1">
      <c r="A1" s="1" t="inlineStr">
        <is>
          <t>DUPLEX SUBDIVISION ANALYSIS</t>
        </is>
      </c>
    </row>
    <row r="3">
      <c r="A3" s="2" t="inlineStr">
        <is>
          <t>PROPERTY INFORMATION</t>
        </is>
      </c>
    </row>
    <row r="4">
      <c r="A4" s="3" t="inlineStr">
        <is>
          <t>Address:</t>
        </is>
      </c>
      <c r="B4">
        <f>Inputs!B3</f>
        <v/>
      </c>
    </row>
    <row r="5">
      <c r="A5" s="3" t="inlineStr">
        <is>
          <t>Property Type:</t>
        </is>
      </c>
      <c r="B5" t="inlineStr">
        <is>
          <t>Duplex (2 Units)</t>
        </is>
      </c>
    </row>
    <row r="6">
      <c r="A6" s="3" t="inlineStr">
        <is>
          <t>Total Square Feet:</t>
        </is>
      </c>
      <c r="B6">
        <f>Inputs!B6</f>
        <v/>
      </c>
    </row>
    <row r="7">
      <c r="A7" s="3" t="inlineStr">
        <is>
          <t>Unit 1 Size:</t>
        </is>
      </c>
      <c r="B7">
        <f>Inputs!B7</f>
        <v/>
      </c>
    </row>
    <row r="8">
      <c r="A8" s="3" t="inlineStr">
        <is>
          <t>Unit 2 Size:</t>
        </is>
      </c>
      <c r="B8">
        <f>Inputs!B8</f>
        <v/>
      </c>
    </row>
    <row r="9">
      <c r="A9" s="3" t="inlineStr">
        <is>
          <t>Year Built:</t>
        </is>
      </c>
      <c r="B9">
        <f>Inputs!B9</f>
        <v/>
      </c>
    </row>
    <row r="10">
      <c r="A10" s="3" t="inlineStr">
        <is>
          <t>Current Status:</t>
        </is>
      </c>
      <c r="B10">
        <f>Inputs!B10</f>
        <v/>
      </c>
    </row>
    <row r="12">
      <c r="A12" s="2" t="inlineStr">
        <is>
          <t>KEY DEAL METRICS</t>
        </is>
      </c>
    </row>
    <row r="13">
      <c r="A13" s="3" t="inlineStr">
        <is>
          <t>Purchase Price:</t>
        </is>
      </c>
      <c r="B13" s="4">
        <f>Inputs!B13</f>
        <v/>
      </c>
    </row>
    <row r="14">
      <c r="A14" s="3" t="inlineStr">
        <is>
          <t>Down Payment (%):</t>
        </is>
      </c>
      <c r="B14" s="5">
        <f>Inputs!B14</f>
        <v/>
      </c>
    </row>
    <row r="15">
      <c r="A15" s="3" t="inlineStr">
        <is>
          <t>Cash Required:</t>
        </is>
      </c>
      <c r="B15" s="4">
        <f>Inputs!B13*Inputs!B14</f>
        <v/>
      </c>
    </row>
    <row r="16">
      <c r="A16" s="3" t="inlineStr">
        <is>
          <t>Loan Amount:</t>
        </is>
      </c>
      <c r="B16" s="4">
        <f>Inputs!B13*(1-Inputs!B14)</f>
        <v/>
      </c>
    </row>
    <row r="17">
      <c r="A17" s="3" t="inlineStr"/>
      <c r="B17" t="inlineStr"/>
    </row>
    <row r="18">
      <c r="A18" s="3" t="inlineStr">
        <is>
          <t>Total Renovation Cost:</t>
        </is>
      </c>
      <c r="B18" s="4">
        <f>"Subdivision!D46</f>
        <v/>
      </c>
    </row>
    <row r="19">
      <c r="A19" s="3" t="inlineStr">
        <is>
          <t>Subdivision/Legal Costs:</t>
        </is>
      </c>
      <c r="B19" s="4">
        <f>Subdivision!D28</f>
        <v/>
      </c>
    </row>
    <row r="20">
      <c r="A20" s="3" t="inlineStr">
        <is>
          <t>Total Project Cost:</t>
        </is>
      </c>
      <c r="B20" s="4">
        <f>B17+B18</f>
        <v/>
      </c>
    </row>
    <row r="21">
      <c r="A21" s="3" t="inlineStr">
        <is>
          <t>All-In Cost Per Unit:</t>
        </is>
      </c>
      <c r="B21" s="4">
        <f>(B19)/2</f>
        <v/>
      </c>
    </row>
    <row r="23">
      <c r="A23" s="2" t="inlineStr">
        <is>
          <t>EXIT STRATEGY COMPARISON</t>
        </is>
      </c>
    </row>
    <row r="24">
      <c r="A24" s="6" t="inlineStr">
        <is>
          <t>Strategy</t>
        </is>
      </c>
      <c r="B24" s="6" t="inlineStr">
        <is>
          <t>Gross Proceeds</t>
        </is>
      </c>
      <c r="C24" s="6" t="inlineStr">
        <is>
          <t>Net Profit</t>
        </is>
      </c>
      <c r="D24" s="6" t="inlineStr">
        <is>
          <t>ROI</t>
        </is>
      </c>
      <c r="E24" s="6" t="inlineStr">
        <is>
          <t>Timeline</t>
        </is>
      </c>
    </row>
    <row r="25">
      <c r="A25" t="inlineStr">
        <is>
          <t>Option A: Subdivide &amp; Sell 2 Units</t>
        </is>
      </c>
      <c r="B25" s="4">
        <f>Subdivision!E52</f>
        <v/>
      </c>
      <c r="C25" s="4">
        <f>Subdivision!E55</f>
        <v/>
      </c>
      <c r="D25" s="5">
        <f>Subdivision!E57</f>
        <v/>
      </c>
      <c r="E25" t="inlineStr">
        <is>
          <t>9-15 months</t>
        </is>
      </c>
    </row>
    <row r="26">
      <c r="A26" t="inlineStr">
        <is>
          <t>Option B: Sell As Duplex (Baseline)</t>
        </is>
      </c>
      <c r="B26" s="4">
        <f>Subdivision!G52</f>
        <v/>
      </c>
      <c r="C26" s="4">
        <f>Subdivision!G55</f>
        <v/>
      </c>
      <c r="D26" s="5">
        <f>Subdivision!G57</f>
        <v/>
      </c>
      <c r="E26" t="inlineStr">
        <is>
          <t>6 months</t>
        </is>
      </c>
    </row>
    <row r="27">
      <c r="A27" t="inlineStr">
        <is>
          <t>Option C: BRRRR (Refinance &amp; Hold)</t>
        </is>
      </c>
      <c r="B27" s="4">
        <f>Subdivision!I52</f>
        <v/>
      </c>
      <c r="C27" s="4">
        <f>Subdivision!I55</f>
        <v/>
      </c>
      <c r="D27" s="5">
        <f>Subdivision!I57</f>
        <v/>
      </c>
      <c r="E27" t="inlineStr">
        <is>
          <t>12+ months</t>
        </is>
      </c>
    </row>
  </sheetData>
  <mergeCells count="4">
    <mergeCell ref="A3:G3"/>
    <mergeCell ref="A1:G1"/>
    <mergeCell ref="A12:G1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25" customHeight="1">
      <c r="A1" s="7" t="inlineStr">
        <is>
          <t>INPUTS &amp; ASSUMPTIONS</t>
        </is>
      </c>
    </row>
    <row r="3">
      <c r="A3" s="2" t="inlineStr">
        <is>
          <t>PROPERTY INFORMATION</t>
        </is>
      </c>
    </row>
    <row r="4">
      <c r="A4" t="inlineStr">
        <is>
          <t>Address:</t>
        </is>
      </c>
      <c r="B4" s="8" t="inlineStr">
        <is>
          <t>2470-2472 NE 182nd Ter, North Miami Beach, FL 33160</t>
        </is>
      </c>
    </row>
    <row r="5">
      <c r="A5" t="inlineStr">
        <is>
          <t>City:</t>
        </is>
      </c>
      <c r="B5" s="8" t="inlineStr">
        <is>
          <t>North Miami Beach</t>
        </is>
      </c>
    </row>
    <row r="6">
      <c r="A6" t="inlineStr">
        <is>
          <t>State:</t>
        </is>
      </c>
      <c r="B6" s="8" t="inlineStr">
        <is>
          <t>FL</t>
        </is>
      </c>
    </row>
    <row r="7">
      <c r="A7" t="inlineStr">
        <is>
          <t>Total Square Feet:</t>
        </is>
      </c>
      <c r="B7" s="8" t="n">
        <v>1778</v>
      </c>
    </row>
    <row r="8">
      <c r="A8" t="inlineStr">
        <is>
          <t>Unit 1 Square Feet:</t>
        </is>
      </c>
      <c r="B8" s="8" t="n">
        <v>889</v>
      </c>
    </row>
    <row r="9">
      <c r="A9" t="inlineStr">
        <is>
          <t>Unit 2 Square Feet:</t>
        </is>
      </c>
      <c r="B9" s="8" t="n">
        <v>889</v>
      </c>
    </row>
    <row r="10">
      <c r="A10" t="inlineStr">
        <is>
          <t>Year Built:</t>
        </is>
      </c>
      <c r="B10" s="8" t="n">
        <v>1967</v>
      </c>
    </row>
    <row r="11">
      <c r="A11" t="inlineStr">
        <is>
          <t>Current Status:</t>
        </is>
      </c>
      <c r="B11" s="8" t="inlineStr">
        <is>
          <t>Renovated, Occupied</t>
        </is>
      </c>
    </row>
    <row r="13">
      <c r="A13" s="2" t="inlineStr">
        <is>
          <t>ACQUISITION DETAILS</t>
        </is>
      </c>
    </row>
    <row r="14">
      <c r="A14" t="inlineStr">
        <is>
          <t>Purchase Price:</t>
        </is>
      </c>
      <c r="B14" s="9" t="n">
        <v>735000</v>
      </c>
    </row>
    <row r="15">
      <c r="A15" t="inlineStr">
        <is>
          <t>Down Payment %:</t>
        </is>
      </c>
      <c r="B15" s="10" t="n">
        <v>0.03</v>
      </c>
    </row>
    <row r="16">
      <c r="A16" t="inlineStr">
        <is>
          <t>Closing Costs %:</t>
        </is>
      </c>
      <c r="B16" s="10" t="n">
        <v>0.025</v>
      </c>
    </row>
    <row r="17">
      <c r="A17" t="inlineStr">
        <is>
          <t>Loan Interest Rate:</t>
        </is>
      </c>
      <c r="B17" s="10" t="n">
        <v>0.08</v>
      </c>
    </row>
    <row r="18">
      <c r="A18" t="inlineStr">
        <is>
          <t>Loan Term (Years):</t>
        </is>
      </c>
      <c r="B18" s="11" t="n">
        <v>30</v>
      </c>
    </row>
    <row r="19">
      <c r="A19" t="inlineStr">
        <is>
          <t>Loan Points:</t>
        </is>
      </c>
      <c r="B19" s="10" t="n">
        <v>0.02</v>
      </c>
    </row>
    <row r="21">
      <c r="A21" s="2" t="inlineStr">
        <is>
          <t>CURRENT RENTAL INCOME (Baseline)</t>
        </is>
      </c>
    </row>
    <row r="22">
      <c r="A22" t="inlineStr">
        <is>
          <t>Unit 1 Current Rent (Monthly):</t>
        </is>
      </c>
      <c r="B22" s="9" t="n">
        <v>2400</v>
      </c>
    </row>
    <row r="23">
      <c r="A23" t="inlineStr">
        <is>
          <t>Unit 2 Current Rent (Monthly):</t>
        </is>
      </c>
      <c r="B23" s="9" t="n">
        <v>2075</v>
      </c>
    </row>
    <row r="24">
      <c r="A24" t="inlineStr">
        <is>
          <t>Annual Gross Rent:</t>
        </is>
      </c>
      <c r="B24" s="9" t="n">
        <v>53700</v>
      </c>
    </row>
    <row r="25">
      <c r="A25" t="inlineStr">
        <is>
          <t>Market Rent Potential (Annual):</t>
        </is>
      </c>
      <c r="B25" s="9" t="n">
        <v>60000</v>
      </c>
    </row>
    <row r="26">
      <c r="A26" t="inlineStr">
        <is>
          <t>Economic Occupancy:</t>
        </is>
      </c>
      <c r="B26" s="10" t="n">
        <v>0.95</v>
      </c>
    </row>
    <row r="28">
      <c r="A28" s="2" t="inlineStr">
        <is>
          <t>RENOVATION/IMPROVEMENT COSTS (Per Unit)</t>
        </is>
      </c>
    </row>
    <row r="29">
      <c r="A29" t="inlineStr">
        <is>
          <t>Kitchen Updates:</t>
        </is>
      </c>
      <c r="B29" s="9" t="n">
        <v>5000</v>
      </c>
    </row>
    <row r="30">
      <c r="A30" t="inlineStr">
        <is>
          <t>Bathroom Updates:</t>
        </is>
      </c>
      <c r="B30" s="9" t="n">
        <v>3000</v>
      </c>
    </row>
    <row r="31">
      <c r="A31" t="inlineStr">
        <is>
          <t>Flooring:</t>
        </is>
      </c>
      <c r="B31" s="9" t="n">
        <v>2500</v>
      </c>
    </row>
    <row r="32">
      <c r="A32" t="inlineStr">
        <is>
          <t>Paint (Interior):</t>
        </is>
      </c>
      <c r="B32" s="9" t="n">
        <v>1500</v>
      </c>
    </row>
    <row r="33">
      <c r="A33" t="inlineStr">
        <is>
          <t>Paint (Exterior):</t>
        </is>
      </c>
      <c r="B33" s="9" t="n">
        <v>1000</v>
      </c>
    </row>
    <row r="34">
      <c r="A34" t="inlineStr">
        <is>
          <t>Landscaping/Curb Appeal:</t>
        </is>
      </c>
      <c r="B34" s="9" t="n">
        <v>2000</v>
      </c>
    </row>
    <row r="35">
      <c r="A35" t="inlineStr">
        <is>
          <t>Appliances:</t>
        </is>
      </c>
      <c r="B35" s="9" t="n">
        <v>2500</v>
      </c>
    </row>
    <row r="36">
      <c r="A36" t="inlineStr">
        <is>
          <t>Plumbing/Electrical:</t>
        </is>
      </c>
      <c r="B36" s="9" t="n">
        <v>1500</v>
      </c>
    </row>
    <row r="37">
      <c r="A37" t="inlineStr">
        <is>
          <t>Contingency % (of reno):</t>
        </is>
      </c>
      <c r="B37" s="10" t="n">
        <v>0.1</v>
      </c>
    </row>
    <row r="39">
      <c r="A39" s="2" t="inlineStr">
        <is>
          <t>SUBDIVISION/CONDO CONVERSION COSTS</t>
        </is>
      </c>
    </row>
    <row r="40">
      <c r="A40" t="inlineStr">
        <is>
          <t>Survey &amp; Engineering:</t>
        </is>
      </c>
      <c r="B40" s="9" t="n">
        <v>5000</v>
      </c>
    </row>
    <row r="41">
      <c r="A41" t="inlineStr">
        <is>
          <t>Legal Fees (Condo Docs):</t>
        </is>
      </c>
      <c r="B41" s="9" t="n">
        <v>8000</v>
      </c>
    </row>
    <row r="42">
      <c r="A42" t="inlineStr">
        <is>
          <t>HOA Formation &amp; Filing:</t>
        </is>
      </c>
      <c r="B42" s="9" t="n">
        <v>3000</v>
      </c>
    </row>
    <row r="43">
      <c r="A43" t="inlineStr">
        <is>
          <t>Permit &amp; Application Fees:</t>
        </is>
      </c>
      <c r="B43" s="9" t="n">
        <v>2000</v>
      </c>
    </row>
    <row r="44">
      <c r="A44" t="inlineStr">
        <is>
          <t>Utility Separation (if needed):</t>
        </is>
      </c>
      <c r="B44" s="9" t="n">
        <v>5000</v>
      </c>
    </row>
    <row r="45">
      <c r="A45" t="inlineStr">
        <is>
          <t>Title Work (per unit):</t>
        </is>
      </c>
      <c r="B45" s="9" t="n">
        <v>1500</v>
      </c>
    </row>
    <row r="46">
      <c r="A46" t="inlineStr">
        <is>
          <t>Contingency:</t>
        </is>
      </c>
      <c r="B46" s="9" t="n">
        <v>2500</v>
      </c>
    </row>
    <row r="48">
      <c r="A48" s="2" t="inlineStr">
        <is>
          <t>SALE ASSUMPTIONS</t>
        </is>
      </c>
    </row>
    <row r="49">
      <c r="A49" t="inlineStr">
        <is>
          <t>Unit 1 Sale Price (Individual):</t>
        </is>
      </c>
      <c r="B49" s="9" t="n">
        <v>450000</v>
      </c>
    </row>
    <row r="50">
      <c r="A50" t="inlineStr">
        <is>
          <t>Unit 2 Sale Price (Individual):</t>
        </is>
      </c>
      <c r="B50" s="9" t="n">
        <v>450000</v>
      </c>
    </row>
    <row r="51">
      <c r="A51" t="inlineStr">
        <is>
          <t>Duplex Sale Price (As-Is):</t>
        </is>
      </c>
      <c r="B51" s="9" t="n">
        <v>850000</v>
      </c>
    </row>
    <row r="52">
      <c r="A52" t="inlineStr">
        <is>
          <t>Real Estate Commission %:</t>
        </is>
      </c>
      <c r="B52" s="10" t="n">
        <v>0.06</v>
      </c>
    </row>
    <row r="53">
      <c r="A53" t="inlineStr">
        <is>
          <t>Seller Closing Costs %:</t>
        </is>
      </c>
      <c r="B53" s="10" t="n">
        <v>0.015</v>
      </c>
    </row>
    <row r="54">
      <c r="A54" t="inlineStr">
        <is>
          <t>Staging/Marketing (per unit):</t>
        </is>
      </c>
      <c r="B54" s="9" t="n">
        <v>2000</v>
      </c>
    </row>
    <row r="56">
      <c r="A56" s="2" t="inlineStr">
        <is>
          <t>TIMELINE ASSUMPTIONS</t>
        </is>
      </c>
    </row>
    <row r="57">
      <c r="A57" t="inlineStr">
        <is>
          <t>Acquisition Period (Days):</t>
        </is>
      </c>
      <c r="B57" s="11" t="n">
        <v>30</v>
      </c>
    </row>
    <row r="58">
      <c r="A58" t="inlineStr">
        <is>
          <t>Subdivision Approval (Days):</t>
        </is>
      </c>
      <c r="B58" s="11" t="n">
        <v>180</v>
      </c>
    </row>
    <row r="59">
      <c r="A59" t="inlineStr">
        <is>
          <t>Renovation Period (Days):</t>
        </is>
      </c>
      <c r="B59" s="11" t="n">
        <v>90</v>
      </c>
    </row>
    <row r="60">
      <c r="A60" t="inlineStr">
        <is>
          <t>Marketing &amp; Sale Period (Days):</t>
        </is>
      </c>
      <c r="B60" s="11" t="n">
        <v>60</v>
      </c>
    </row>
    <row r="61">
      <c r="A61" t="inlineStr">
        <is>
          <t>Total Hold Period (Months):</t>
        </is>
      </c>
      <c r="B61" s="11" t="n">
        <v>12</v>
      </c>
    </row>
  </sheetData>
  <mergeCells count="8">
    <mergeCell ref="A1:D1"/>
    <mergeCell ref="A56:D56"/>
    <mergeCell ref="A48:D48"/>
    <mergeCell ref="A3:D3"/>
    <mergeCell ref="A21:D21"/>
    <mergeCell ref="A39:D39"/>
    <mergeCell ref="A28:D28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18" customWidth="1" min="4" max="4"/>
    <col width="18" customWidth="1" min="5" max="5"/>
    <col width="2" customWidth="1" min="6" max="6"/>
    <col width="18" customWidth="1" min="7" max="7"/>
    <col width="2" customWidth="1" min="8" max="8"/>
    <col width="18" customWidth="1" min="9" max="9"/>
  </cols>
  <sheetData>
    <row r="1" ht="25" customHeight="1">
      <c r="A1" s="7" t="inlineStr">
        <is>
          <t>SUBDIVISION vs DUPLEX SALE ANALYSIS</t>
        </is>
      </c>
    </row>
    <row r="3">
      <c r="A3" s="2" t="inlineStr">
        <is>
          <t>ACQUISITION COST BREAKDOWN</t>
        </is>
      </c>
    </row>
    <row r="4">
      <c r="C4" s="3" t="inlineStr">
        <is>
          <t>Purchase Price:</t>
        </is>
      </c>
      <c r="D4" s="4">
        <f>Inputs!B13</f>
        <v/>
      </c>
    </row>
    <row r="5">
      <c r="C5" s="3" t="inlineStr">
        <is>
          <t>Down Payment:</t>
        </is>
      </c>
      <c r="D5" s="4">
        <f>Inputs!B13*Inputs!B14</f>
        <v/>
      </c>
    </row>
    <row r="6">
      <c r="C6" s="3" t="inlineStr">
        <is>
          <t>Loan Amount:</t>
        </is>
      </c>
      <c r="D6" s="4">
        <f>D4-D5</f>
        <v/>
      </c>
    </row>
    <row r="7">
      <c r="C7" s="3" t="inlineStr">
        <is>
          <t>Closing Costs:</t>
        </is>
      </c>
      <c r="D7" s="4">
        <f>Inputs!B13*Inputs!B15</f>
        <v/>
      </c>
    </row>
    <row r="8">
      <c r="C8" s="3" t="inlineStr">
        <is>
          <t>Loan Points:</t>
        </is>
      </c>
      <c r="D8" s="4">
        <f>D6*Inputs!B18</f>
        <v/>
      </c>
    </row>
    <row r="9">
      <c r="C9" s="3" t="inlineStr">
        <is>
          <t>Total Cash at Closing:</t>
        </is>
      </c>
      <c r="D9" s="4">
        <f>D5+D7+D8</f>
        <v/>
      </c>
    </row>
    <row r="11">
      <c r="A11" s="2" t="inlineStr">
        <is>
          <t>RENOVATION COSTS</t>
        </is>
      </c>
    </row>
    <row r="12">
      <c r="B12" s="6" t="inlineStr">
        <is>
          <t>Category</t>
        </is>
      </c>
      <c r="C12" s="6" t="inlineStr">
        <is>
          <t>Unit 1</t>
        </is>
      </c>
      <c r="D12" s="6" t="inlineStr">
        <is>
          <t>Unit 2</t>
        </is>
      </c>
      <c r="E12" s="6" t="inlineStr">
        <is>
          <t>Total</t>
        </is>
      </c>
    </row>
    <row r="13">
      <c r="B13" t="inlineStr">
        <is>
          <t>Kitchen Updates</t>
        </is>
      </c>
      <c r="C13" s="4">
        <f>Inputs!B33</f>
        <v/>
      </c>
      <c r="D13" s="4">
        <f>Inputs!B33</f>
        <v/>
      </c>
      <c r="E13" s="4">
        <f>C13+D13</f>
        <v/>
      </c>
    </row>
    <row r="14">
      <c r="B14" t="inlineStr">
        <is>
          <t>Bathroom Updates</t>
        </is>
      </c>
      <c r="C14" s="4">
        <f>Inputs!B34</f>
        <v/>
      </c>
      <c r="D14" s="4">
        <f>Inputs!B34</f>
        <v/>
      </c>
      <c r="E14" s="4">
        <f>C14+D14</f>
        <v/>
      </c>
    </row>
    <row r="15">
      <c r="B15" t="inlineStr">
        <is>
          <t>Flooring</t>
        </is>
      </c>
      <c r="C15" s="4">
        <f>Inputs!B35</f>
        <v/>
      </c>
      <c r="D15" s="4">
        <f>Inputs!B35</f>
        <v/>
      </c>
      <c r="E15" s="4">
        <f>C15+D15</f>
        <v/>
      </c>
    </row>
    <row r="16">
      <c r="B16" t="inlineStr">
        <is>
          <t>Paint (Interior)</t>
        </is>
      </c>
      <c r="C16" s="4">
        <f>Inputs!B36</f>
        <v/>
      </c>
      <c r="D16" s="4">
        <f>Inputs!B36</f>
        <v/>
      </c>
      <c r="E16" s="4">
        <f>C16+D16</f>
        <v/>
      </c>
    </row>
    <row r="17">
      <c r="B17" t="inlineStr">
        <is>
          <t>Paint (Exterior)</t>
        </is>
      </c>
      <c r="C17" s="4">
        <f>Inputs!B37/2</f>
        <v/>
      </c>
      <c r="D17" s="4">
        <f>Inputs!B37/2</f>
        <v/>
      </c>
      <c r="E17" s="4">
        <f>C17+D17</f>
        <v/>
      </c>
    </row>
    <row r="18">
      <c r="B18" t="inlineStr">
        <is>
          <t>Landscaping</t>
        </is>
      </c>
      <c r="C18" s="4">
        <f>Inputs!B38/2</f>
        <v/>
      </c>
      <c r="D18" s="4">
        <f>Inputs!B38/2</f>
        <v/>
      </c>
      <c r="E18" s="4">
        <f>C18+D18</f>
        <v/>
      </c>
    </row>
    <row r="19">
      <c r="B19" t="inlineStr">
        <is>
          <t>Appliances</t>
        </is>
      </c>
      <c r="C19" s="4">
        <f>Inputs!B39</f>
        <v/>
      </c>
      <c r="D19" s="4">
        <f>Inputs!B39</f>
        <v/>
      </c>
      <c r="E19" s="4">
        <f>C19+D19</f>
        <v/>
      </c>
    </row>
    <row r="20">
      <c r="B20" t="inlineStr">
        <is>
          <t>Plumbing/Electrical</t>
        </is>
      </c>
      <c r="C20" s="4">
        <f>Inputs!B40</f>
        <v/>
      </c>
      <c r="D20" s="4">
        <f>Inputs!B40</f>
        <v/>
      </c>
      <c r="E20" s="4">
        <f>C20+D20</f>
        <v/>
      </c>
    </row>
    <row r="21">
      <c r="B21" s="3" t="inlineStr">
        <is>
          <t>SUBTOTAL</t>
        </is>
      </c>
      <c r="C21" s="12">
        <f>SUM(C13:C20)</f>
        <v/>
      </c>
      <c r="D21" s="12">
        <f>SUM(D13:D20)</f>
        <v/>
      </c>
      <c r="E21" s="12">
        <f>C21+D21</f>
        <v/>
      </c>
    </row>
    <row r="22">
      <c r="B22" t="inlineStr">
        <is>
          <t>Contingency (10%)</t>
        </is>
      </c>
      <c r="C22" s="4">
        <f>C21*Inputs!B41</f>
        <v/>
      </c>
      <c r="D22" s="4">
        <f>D21*Inputs!B41</f>
        <v/>
      </c>
      <c r="E22" s="4">
        <f>C22+D22</f>
        <v/>
      </c>
    </row>
    <row r="23">
      <c r="B23" s="3" t="inlineStr">
        <is>
          <t>TOTAL RENOVATION</t>
        </is>
      </c>
      <c r="C23" s="12">
        <f>C21+C22</f>
        <v/>
      </c>
      <c r="D23" s="12">
        <f>D21+D22</f>
        <v/>
      </c>
      <c r="E23" s="12">
        <f>C23+D23</f>
        <v/>
      </c>
    </row>
    <row r="25">
      <c r="A25" s="2" t="inlineStr">
        <is>
          <t>SUBDIVISION/CONDO CONVERSION COSTS</t>
        </is>
      </c>
    </row>
    <row r="26">
      <c r="C26" t="inlineStr">
        <is>
          <t>Survey &amp; Engineering:</t>
        </is>
      </c>
      <c r="D26" s="4">
        <f>Inputs!B44</f>
        <v/>
      </c>
    </row>
    <row r="27">
      <c r="C27" t="inlineStr">
        <is>
          <t>Legal Fees (Condo Docs):</t>
        </is>
      </c>
      <c r="D27" s="4">
        <f>Inputs!B45</f>
        <v/>
      </c>
    </row>
    <row r="28">
      <c r="C28" t="inlineStr">
        <is>
          <t>HOA Formation &amp; Filing:</t>
        </is>
      </c>
      <c r="D28" s="4">
        <f>Inputs!B46</f>
        <v/>
      </c>
    </row>
    <row r="29">
      <c r="C29" t="inlineStr">
        <is>
          <t>Permit &amp; Application Fees:</t>
        </is>
      </c>
      <c r="D29" s="4">
        <f>Inputs!B47</f>
        <v/>
      </c>
    </row>
    <row r="30">
      <c r="C30" t="inlineStr">
        <is>
          <t>Utility Separation:</t>
        </is>
      </c>
      <c r="D30" s="4">
        <f>Inputs!B48</f>
        <v/>
      </c>
    </row>
    <row r="31">
      <c r="C31" t="inlineStr">
        <is>
          <t>Title Work (2 units):</t>
        </is>
      </c>
      <c r="D31" s="4">
        <f>Inputs!B49*2</f>
        <v/>
      </c>
    </row>
    <row r="32">
      <c r="C32" t="inlineStr">
        <is>
          <t>Contingency:</t>
        </is>
      </c>
      <c r="D32" s="4">
        <f>Inputs!B50</f>
        <v/>
      </c>
    </row>
    <row r="33">
      <c r="C33" s="3" t="inlineStr">
        <is>
          <t>TOTAL SUBDIVISION COSTS</t>
        </is>
      </c>
      <c r="D33" s="12">
        <f>SUM(D26:D32)</f>
        <v/>
      </c>
    </row>
    <row r="35">
      <c r="A35" s="6" t="inlineStr">
        <is>
          <t>EXIT STRATEGY COMPARISON</t>
        </is>
      </c>
    </row>
    <row r="36">
      <c r="C36" s="13" t="inlineStr">
        <is>
          <t>Metric</t>
        </is>
      </c>
      <c r="E36" s="13" t="inlineStr">
        <is>
          <t>Option A: Subdivide</t>
        </is>
      </c>
      <c r="G36" s="13" t="inlineStr">
        <is>
          <t>Option B: Sell Duplex</t>
        </is>
      </c>
      <c r="I36" s="13" t="inlineStr">
        <is>
          <t>Option C: BRRRR</t>
        </is>
      </c>
    </row>
    <row r="37">
      <c r="C37" s="14" t="inlineStr">
        <is>
          <t>REVENUE</t>
        </is>
      </c>
    </row>
    <row r="38">
      <c r="C38" t="inlineStr">
        <is>
          <t>Gross Sales Proceeds</t>
        </is>
      </c>
      <c r="E38" s="4">
        <f>Inputs!B53+Inputs!B54</f>
        <v/>
      </c>
      <c r="G38" s="4">
        <f>Inputs!B55</f>
        <v/>
      </c>
      <c r="I38" s="4">
        <f>Inputs!B55</f>
        <v/>
      </c>
    </row>
    <row r="39">
      <c r="C39" t="inlineStr">
        <is>
          <t>Less: RE Commission (6%)</t>
        </is>
      </c>
      <c r="E39" s="4">
        <f>-E39*Inputs!B56</f>
        <v/>
      </c>
      <c r="G39" s="4">
        <f>-E39*Inputs!B56</f>
        <v/>
      </c>
      <c r="I39" s="4" t="n">
        <v>0</v>
      </c>
    </row>
    <row r="40">
      <c r="C40" t="inlineStr">
        <is>
          <t>Less: Closing Costs</t>
        </is>
      </c>
      <c r="E40" s="4">
        <f>-E40*Inputs!B57</f>
        <v/>
      </c>
      <c r="G40" s="4">
        <f>-E40*Inputs!B57</f>
        <v/>
      </c>
      <c r="I40" s="4">
        <f>-E40*Inputs!B57</f>
        <v/>
      </c>
    </row>
    <row r="41">
      <c r="C41" t="inlineStr">
        <is>
          <t>Less: Staging/Marketing</t>
        </is>
      </c>
      <c r="E41" s="4">
        <f>-Inputs!B58*2</f>
        <v/>
      </c>
      <c r="G41" s="4">
        <f>-Inputs!B58</f>
        <v/>
      </c>
      <c r="I41" s="4" t="n">
        <v>0</v>
      </c>
    </row>
    <row r="42">
      <c r="C42" s="3" t="inlineStr">
        <is>
          <t>Net Sale Proceeds</t>
        </is>
      </c>
      <c r="E42" s="12">
        <f>E{r-4}+E{r-3}+E{r-2}+E{r-1}</f>
        <v/>
      </c>
      <c r="G42" s="12">
        <f>G{r-4}+G{r-3}+G{r-2}+G{r-1}</f>
        <v/>
      </c>
      <c r="I42" s="12">
        <f>I{r-4}+I{r-3}+I{r-2}+I{r-1}</f>
        <v/>
      </c>
    </row>
    <row r="44">
      <c r="C44" s="14" t="inlineStr">
        <is>
          <t>TOTAL COSTS</t>
        </is>
      </c>
    </row>
    <row r="45">
      <c r="C45" t="inlineStr">
        <is>
          <t>Cash at Closing</t>
        </is>
      </c>
      <c r="E45" s="4">
        <f>D9</f>
        <v/>
      </c>
      <c r="G45" s="4">
        <f>D9</f>
        <v/>
      </c>
      <c r="I45" s="4">
        <f>D9</f>
        <v/>
      </c>
    </row>
    <row r="46">
      <c r="C46" t="inlineStr">
        <is>
          <t>Renovation Costs</t>
        </is>
      </c>
      <c r="E46" s="4">
        <f>E23</f>
        <v/>
      </c>
      <c r="G46" s="4">
        <f>E23</f>
        <v/>
      </c>
      <c r="I46" s="4">
        <f>E23</f>
        <v/>
      </c>
    </row>
    <row r="47">
      <c r="C47" t="inlineStr">
        <is>
          <t>Subdivision Costs</t>
        </is>
      </c>
      <c r="E47" s="4">
        <f>D33</f>
        <v/>
      </c>
      <c r="G47" s="4" t="n">
        <v>0</v>
      </c>
      <c r="I47" s="4" t="n">
        <v>0</v>
      </c>
    </row>
    <row r="48">
      <c r="C48" t="inlineStr">
        <is>
          <t>Loan Payoff</t>
        </is>
      </c>
      <c r="E48" s="4">
        <f>D6*(1+Inputs!B16*Inputs!B63/12)</f>
        <v/>
      </c>
      <c r="G48" s="4">
        <f>E{r-1}</f>
        <v/>
      </c>
      <c r="I48" s="4">
        <f>-D6*(0.75)</f>
        <v/>
      </c>
    </row>
    <row r="49">
      <c r="C49" s="3" t="inlineStr">
        <is>
          <t>TOTAL COSTS</t>
        </is>
      </c>
      <c r="E49" s="12">
        <f>SUM(E45:E48)</f>
        <v/>
      </c>
      <c r="G49" s="12">
        <f>SUM(G45:G48)</f>
        <v/>
      </c>
      <c r="I49" s="12">
        <f>SUM(I45:I48)</f>
        <v/>
      </c>
    </row>
    <row r="51">
      <c r="C51" s="15" t="inlineStr">
        <is>
          <t>NET PROFIT</t>
        </is>
      </c>
      <c r="E51" s="16">
        <f>E42-E49</f>
        <v/>
      </c>
      <c r="G51" s="16">
        <f>G42-G49</f>
        <v/>
      </c>
      <c r="I51" s="16">
        <f>I42-I49</f>
        <v/>
      </c>
    </row>
    <row r="52">
      <c r="C52" s="3" t="inlineStr">
        <is>
          <t>ROI (on Cash Invested)</t>
        </is>
      </c>
      <c r="E52" s="17">
        <f>E51/E45</f>
        <v/>
      </c>
      <c r="G52" s="17">
        <f>G51/G45</f>
        <v/>
      </c>
      <c r="I52" s="17">
        <f>I51/I45</f>
        <v/>
      </c>
    </row>
  </sheetData>
  <mergeCells count="8">
    <mergeCell ref="A1:J1"/>
    <mergeCell ref="A3:D3"/>
    <mergeCell ref="A35:J35"/>
    <mergeCell ref="A25:D25"/>
    <mergeCell ref="E36:F36"/>
    <mergeCell ref="G36:H36"/>
    <mergeCell ref="I36:J36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7" t="inlineStr">
        <is>
          <t>CASH FLOW ANALYSIS</t>
        </is>
      </c>
    </row>
    <row r="3">
      <c r="A3" s="15" t="inlineStr">
        <is>
          <t>Month-by-Month Cash Flow Projection</t>
        </is>
      </c>
    </row>
    <row r="4">
      <c r="A4" s="6" t="inlineStr">
        <is>
          <t>Month</t>
        </is>
      </c>
      <c r="B4" s="6" t="inlineStr">
        <is>
          <t>Rental Income</t>
        </is>
      </c>
      <c r="C4" s="6" t="inlineStr">
        <is>
          <t>Loan Payment</t>
        </is>
      </c>
      <c r="D4" s="6" t="inlineStr">
        <is>
          <t>Operating Exp</t>
        </is>
      </c>
      <c r="E4" s="6" t="inlineStr">
        <is>
          <t>Reno Costs</t>
        </is>
      </c>
      <c r="F4" s="6" t="inlineStr">
        <is>
          <t>Net Cash Flow</t>
        </is>
      </c>
      <c r="G4" s="6" t="inlineStr">
        <is>
          <t>Cumulative</t>
        </is>
      </c>
    </row>
    <row r="5">
      <c r="A5" t="n">
        <v>1</v>
      </c>
      <c r="B5" s="4">
        <f>(Inputs!B23+Inputs!B24)*Inputs!B27</f>
        <v/>
      </c>
      <c r="C5" s="4">
        <f>-PMT(Inputs!B16/12,Inputs!B17*12,Subdivision!D6)</f>
        <v/>
      </c>
      <c r="D5" s="4">
        <f>-B5*0.30</f>
        <v/>
      </c>
      <c r="E5" s="4" t="n">
        <v>0</v>
      </c>
      <c r="F5" s="4">
        <f>B5+C5+D5+E5</f>
        <v/>
      </c>
      <c r="G5" s="4">
        <f>F5</f>
        <v/>
      </c>
    </row>
    <row r="6">
      <c r="A6" t="n">
        <v>2</v>
      </c>
      <c r="B6" s="4">
        <f>(Inputs!B23+Inputs!B24)*Inputs!B27</f>
        <v/>
      </c>
      <c r="C6" s="4">
        <f>-PMT(Inputs!B16/12,Inputs!B17*12,Subdivision!D6)</f>
        <v/>
      </c>
      <c r="D6" s="4">
        <f>-B6*0.30</f>
        <v/>
      </c>
      <c r="E6" s="4">
        <f>-Subdivision!E23/3</f>
        <v/>
      </c>
      <c r="F6" s="4">
        <f>B6+C6+D6+E6</f>
        <v/>
      </c>
      <c r="G6" s="4">
        <f>G5+F6</f>
        <v/>
      </c>
    </row>
    <row r="7">
      <c r="A7" t="n">
        <v>3</v>
      </c>
      <c r="B7" s="4">
        <f>(Inputs!B23+Inputs!B24)*Inputs!B27</f>
        <v/>
      </c>
      <c r="C7" s="4">
        <f>-PMT(Inputs!B16/12,Inputs!B17*12,Subdivision!D6)</f>
        <v/>
      </c>
      <c r="D7" s="4">
        <f>-B7*0.30</f>
        <v/>
      </c>
      <c r="E7" s="4">
        <f>-Subdivision!E23/3</f>
        <v/>
      </c>
      <c r="F7" s="4">
        <f>B7+C7+D7+E7</f>
        <v/>
      </c>
      <c r="G7" s="4">
        <f>G6+F7</f>
        <v/>
      </c>
    </row>
    <row r="8">
      <c r="A8" t="n">
        <v>4</v>
      </c>
      <c r="B8" s="4">
        <f>(Inputs!B23+Inputs!B24)*Inputs!B27</f>
        <v/>
      </c>
      <c r="C8" s="4">
        <f>-PMT(Inputs!B16/12,Inputs!B17*12,Subdivision!D6)</f>
        <v/>
      </c>
      <c r="D8" s="4">
        <f>-B8*0.30</f>
        <v/>
      </c>
      <c r="E8" s="4">
        <f>-Subdivision!E23/3</f>
        <v/>
      </c>
      <c r="F8" s="4">
        <f>B8+C8+D8+E8</f>
        <v/>
      </c>
      <c r="G8" s="4">
        <f>G7+F8</f>
        <v/>
      </c>
    </row>
    <row r="9">
      <c r="A9" t="n">
        <v>5</v>
      </c>
      <c r="B9" s="4">
        <f>(Inputs!B23+Inputs!B24)*Inputs!B27</f>
        <v/>
      </c>
      <c r="C9" s="4">
        <f>-PMT(Inputs!B16/12,Inputs!B17*12,Subdivision!D6)</f>
        <v/>
      </c>
      <c r="D9" s="4">
        <f>-B9*0.30</f>
        <v/>
      </c>
      <c r="E9" s="4" t="n">
        <v>0</v>
      </c>
      <c r="F9" s="4">
        <f>B9+C9+D9+E9</f>
        <v/>
      </c>
      <c r="G9" s="4">
        <f>G8+F9</f>
        <v/>
      </c>
    </row>
    <row r="10">
      <c r="A10" t="n">
        <v>6</v>
      </c>
      <c r="B10" s="4">
        <f>(Inputs!B23+Inputs!B24)*Inputs!B27</f>
        <v/>
      </c>
      <c r="C10" s="4">
        <f>-PMT(Inputs!B16/12,Inputs!B17*12,Subdivision!D6)</f>
        <v/>
      </c>
      <c r="D10" s="4">
        <f>-B10*0.30</f>
        <v/>
      </c>
      <c r="E10" s="4" t="n">
        <v>0</v>
      </c>
      <c r="F10" s="4">
        <f>B10+C10+D10+E10</f>
        <v/>
      </c>
      <c r="G10" s="4">
        <f>G9+F10</f>
        <v/>
      </c>
    </row>
    <row r="11">
      <c r="A11" t="n">
        <v>7</v>
      </c>
      <c r="B11" s="4">
        <f>(Inputs!B23+Inputs!B24)*Inputs!B27</f>
        <v/>
      </c>
      <c r="C11" s="4">
        <f>-PMT(Inputs!B16/12,Inputs!B17*12,Subdivision!D6)</f>
        <v/>
      </c>
      <c r="D11" s="4">
        <f>-B11*0.30</f>
        <v/>
      </c>
      <c r="E11" s="4" t="n">
        <v>0</v>
      </c>
      <c r="F11" s="4">
        <f>B11+C11+D11+E11</f>
        <v/>
      </c>
      <c r="G11" s="4">
        <f>G10+F11</f>
        <v/>
      </c>
    </row>
    <row r="12">
      <c r="A12" t="n">
        <v>8</v>
      </c>
      <c r="B12" s="4">
        <f>(Inputs!B23+Inputs!B24)*Inputs!B27</f>
        <v/>
      </c>
      <c r="C12" s="4">
        <f>-PMT(Inputs!B16/12,Inputs!B17*12,Subdivision!D6)</f>
        <v/>
      </c>
      <c r="D12" s="4">
        <f>-B12*0.30</f>
        <v/>
      </c>
      <c r="E12" s="4" t="n">
        <v>0</v>
      </c>
      <c r="F12" s="4">
        <f>B12+C12+D12+E12</f>
        <v/>
      </c>
      <c r="G12" s="4">
        <f>G11+F12</f>
        <v/>
      </c>
    </row>
    <row r="13">
      <c r="A13" t="n">
        <v>9</v>
      </c>
      <c r="B13" s="4">
        <f>(Inputs!B23+Inputs!B24)*Inputs!B27</f>
        <v/>
      </c>
      <c r="C13" s="4">
        <f>-PMT(Inputs!B16/12,Inputs!B17*12,Subdivision!D6)</f>
        <v/>
      </c>
      <c r="D13" s="4">
        <f>-B13*0.30</f>
        <v/>
      </c>
      <c r="E13" s="4" t="n">
        <v>0</v>
      </c>
      <c r="F13" s="4">
        <f>B13+C13+D13+E13</f>
        <v/>
      </c>
      <c r="G13" s="4">
        <f>G12+F13</f>
        <v/>
      </c>
    </row>
    <row r="14">
      <c r="A14" t="n">
        <v>10</v>
      </c>
      <c r="B14" s="4">
        <f>(Inputs!B23+Inputs!B24)*Inputs!B27</f>
        <v/>
      </c>
      <c r="C14" s="4">
        <f>-PMT(Inputs!B16/12,Inputs!B17*12,Subdivision!D6)</f>
        <v/>
      </c>
      <c r="D14" s="4">
        <f>-B14*0.30</f>
        <v/>
      </c>
      <c r="E14" s="4" t="n">
        <v>0</v>
      </c>
      <c r="F14" s="4">
        <f>B14+C14+D14+E14</f>
        <v/>
      </c>
      <c r="G14" s="4">
        <f>G13+F14</f>
        <v/>
      </c>
    </row>
    <row r="15">
      <c r="A15" t="n">
        <v>11</v>
      </c>
      <c r="B15" s="4">
        <f>(Inputs!B23+Inputs!B24)*Inputs!B27</f>
        <v/>
      </c>
      <c r="C15" s="4">
        <f>-PMT(Inputs!B16/12,Inputs!B17*12,Subdivision!D6)</f>
        <v/>
      </c>
      <c r="D15" s="4">
        <f>-B15*0.30</f>
        <v/>
      </c>
      <c r="E15" s="4" t="n">
        <v>0</v>
      </c>
      <c r="F15" s="4">
        <f>B15+C15+D15+E15</f>
        <v/>
      </c>
      <c r="G15" s="4">
        <f>G14+F15</f>
        <v/>
      </c>
    </row>
    <row r="16">
      <c r="A16" t="n">
        <v>12</v>
      </c>
      <c r="B16" s="4">
        <f>(Inputs!B23+Inputs!B24)*Inputs!B27</f>
        <v/>
      </c>
      <c r="C16" s="4">
        <f>-PMT(Inputs!B16/12,Inputs!B17*12,Subdivision!D6)</f>
        <v/>
      </c>
      <c r="D16" s="4">
        <f>-B16*0.30</f>
        <v/>
      </c>
      <c r="E16" s="4" t="n">
        <v>0</v>
      </c>
      <c r="F16" s="4">
        <f>B16+C16+D16+E16</f>
        <v/>
      </c>
      <c r="G16" s="4">
        <f>G15+F16</f>
        <v/>
      </c>
    </row>
    <row r="17">
      <c r="A17" s="3" t="inlineStr">
        <is>
          <t>TOTAL</t>
        </is>
      </c>
      <c r="B17" s="12">
        <f>SUM(B5:B16)</f>
        <v/>
      </c>
      <c r="C17" s="12">
        <f>SUM(C5:C16)</f>
        <v/>
      </c>
      <c r="D17" s="12">
        <f>SUM(D5:D16)</f>
        <v/>
      </c>
      <c r="E17" s="12">
        <f>SUM(E5:E16)</f>
        <v/>
      </c>
      <c r="F17" s="12">
        <f>SUM(F5:F16)</f>
        <v/>
      </c>
      <c r="G17" s="12">
        <f>F17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2025-11-08T18:46:09Z</dcterms:created>
  <dcterms:modified xmlns:dcterms="http://purl.org/dc/terms/" xmlns:xsi="http://www.w3.org/2001/XMLSchema-instance" xsi:type="dcterms:W3CDTF">2025-11-08T18:46:09Z</dcterms:modified>
</cp:coreProperties>
</file>