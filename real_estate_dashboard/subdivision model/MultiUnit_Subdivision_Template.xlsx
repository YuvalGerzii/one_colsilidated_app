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y Setup" sheetId="1" state="visible" r:id="rId3"/>
    <sheet name="Acquisition" sheetId="2" state="visible" r:id="rId4"/>
    <sheet name="Renovation Budget" sheetId="3" state="visible" r:id="rId5"/>
    <sheet name="Conversion Costs" sheetId="4" state="visible" r:id="rId6"/>
    <sheet name="Exit Strategies" sheetId="5" state="visible" r:id="rId7"/>
    <sheet name="Cash Flow" sheetId="6" state="visible" r:id="rId8"/>
    <sheet name="Instru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<sst xmlns="http://schemas.openxmlformats.org/spreadsheetml/2006/main" count="386" uniqueCount="324">
  <si>
    <t xml:space="preserve">MULTI-UNIT SUBDIVISION/CONVERSION ANALYSIS</t>
  </si>
  <si>
    <t xml:space="preserve">Property Configuration &amp; Unit Details</t>
  </si>
  <si>
    <t xml:space="preserve">PROPERTY INFORMATION</t>
  </si>
  <si>
    <t xml:space="preserve">Field</t>
  </si>
  <si>
    <t xml:space="preserve">Value</t>
  </si>
  <si>
    <t xml:space="preserve">Notes</t>
  </si>
  <si>
    <t xml:space="preserve">Property Address</t>
  </si>
  <si>
    <t xml:space="preserve">Full street address</t>
  </si>
  <si>
    <t xml:space="preserve">City, State, ZIP</t>
  </si>
  <si>
    <t xml:space="preserve">Location details</t>
  </si>
  <si>
    <t xml:space="preserve">Property Type</t>
  </si>
  <si>
    <t xml:space="preserve">Duplex</t>
  </si>
  <si>
    <t xml:space="preserve">Duplex/Triplex/Quadplex/5-Unit/6-Unit/7-Unit/8-Unit/9-Unit/10-Unit</t>
  </si>
  <si>
    <t xml:space="preserve">Number of Units</t>
  </si>
  <si>
    <t xml:space="preserve">2-10 units supported</t>
  </si>
  <si>
    <t xml:space="preserve">Total Building SF</t>
  </si>
  <si>
    <t xml:space="preserve">Total square footage</t>
  </si>
  <si>
    <t xml:space="preserve">Lot Size (SF)</t>
  </si>
  <si>
    <t xml:space="preserve">Land area in square feet</t>
  </si>
  <si>
    <t xml:space="preserve">Year Built</t>
  </si>
  <si>
    <t xml:space="preserve">Construction year</t>
  </si>
  <si>
    <t xml:space="preserve">Zoning</t>
  </si>
  <si>
    <t xml:space="preserve">Current zoning designation</t>
  </si>
  <si>
    <t xml:space="preserve">Conversion Allowed?</t>
  </si>
  <si>
    <t xml:space="preserve">Unknown</t>
  </si>
  <si>
    <t xml:space="preserve">Yes/No/Unknown - CHECK WITH COUNTY!</t>
  </si>
  <si>
    <t xml:space="preserve">INDIVIDUAL UNIT DETAILS</t>
  </si>
  <si>
    <t xml:space="preserve">Unit #</t>
  </si>
  <si>
    <t xml:space="preserve">Beds</t>
  </si>
  <si>
    <t xml:space="preserve">Baths</t>
  </si>
  <si>
    <t xml:space="preserve">SF</t>
  </si>
  <si>
    <t xml:space="preserve">Current Rent</t>
  </si>
  <si>
    <t xml:space="preserve">Market Rent</t>
  </si>
  <si>
    <t xml:space="preserve">Condition</t>
  </si>
  <si>
    <t xml:space="preserve">Occupied?</t>
  </si>
  <si>
    <t xml:space="preserve">Lease End</t>
  </si>
  <si>
    <t xml:space="preserve">Unit 1</t>
  </si>
  <si>
    <t xml:space="preserve">Fair</t>
  </si>
  <si>
    <t xml:space="preserve">No</t>
  </si>
  <si>
    <t xml:space="preserve">Unit 2</t>
  </si>
  <si>
    <t xml:space="preserve">Unit 3</t>
  </si>
  <si>
    <t xml:space="preserve">Unit 4</t>
  </si>
  <si>
    <t xml:space="preserve">Unit 5</t>
  </si>
  <si>
    <t xml:space="preserve">Unit 6</t>
  </si>
  <si>
    <t xml:space="preserve">Unit 7</t>
  </si>
  <si>
    <t xml:space="preserve">Unit 8</t>
  </si>
  <si>
    <t xml:space="preserve">Unit 9</t>
  </si>
  <si>
    <t xml:space="preserve">Unit 10</t>
  </si>
  <si>
    <t xml:space="preserve">TOTALS</t>
  </si>
  <si>
    <t xml:space="preserve">ACQUISITION ANALYSIS</t>
  </si>
  <si>
    <t xml:space="preserve">Purchase Price &amp; Financing Scenarios</t>
  </si>
  <si>
    <t xml:space="preserve">PURCHASE DETAILS</t>
  </si>
  <si>
    <t xml:space="preserve">Purchase Price</t>
  </si>
  <si>
    <t xml:space="preserve">$</t>
  </si>
  <si>
    <t xml:space="preserve">Closing Costs %</t>
  </si>
  <si>
    <t xml:space="preserve">%</t>
  </si>
  <si>
    <t xml:space="preserve">Closing Costs $</t>
  </si>
  <si>
    <t xml:space="preserve">Inspection/Due Diligence</t>
  </si>
  <si>
    <t xml:space="preserve">Total Acquisition Cost</t>
  </si>
  <si>
    <t xml:space="preserve">FINANCING OPTIONS COMPARISON</t>
  </si>
  <si>
    <t xml:space="preserve">Option 1: 3% Down</t>
  </si>
  <si>
    <t xml:space="preserve">Option 2: 3.5% FHA</t>
  </si>
  <si>
    <t xml:space="preserve">Option 3: 20% Down</t>
  </si>
  <si>
    <t xml:space="preserve">Option 4: Hard Money</t>
  </si>
  <si>
    <t xml:space="preserve">Down Payment %</t>
  </si>
  <si>
    <t xml:space="preserve">Interest Rate</t>
  </si>
  <si>
    <t xml:space="preserve">Loan Term (Years)</t>
  </si>
  <si>
    <t xml:space="preserve">Down Payment $</t>
  </si>
  <si>
    <t xml:space="preserve">Loan Amount</t>
  </si>
  <si>
    <t xml:space="preserve">Monthly Payment</t>
  </si>
  <si>
    <t xml:space="preserve">CASH REQUIRED AT CLOSING</t>
  </si>
  <si>
    <t xml:space="preserve">Down Payment</t>
  </si>
  <si>
    <t xml:space="preserve">Closing Costs</t>
  </si>
  <si>
    <t xml:space="preserve">Due Diligence</t>
  </si>
  <si>
    <t xml:space="preserve">Total Cash Needed</t>
  </si>
  <si>
    <t xml:space="preserve">RENOVATION BUDGET</t>
  </si>
  <si>
    <t xml:space="preserve">Unit-by-Unit Renovation Costs</t>
  </si>
  <si>
    <t xml:space="preserve">Enter renovation costs for each unit being renovated. Leave blank for units not being touched.</t>
  </si>
  <si>
    <t xml:space="preserve">RENOVATION CATEGORY</t>
  </si>
  <si>
    <t xml:space="preserve">TOTAL</t>
  </si>
  <si>
    <t xml:space="preserve">Kitchen Updates</t>
  </si>
  <si>
    <t xml:space="preserve">Bathroom Updates</t>
  </si>
  <si>
    <t xml:space="preserve">Flooring</t>
  </si>
  <si>
    <t xml:space="preserve">Interior Paint</t>
  </si>
  <si>
    <t xml:space="preserve">Exterior Paint</t>
  </si>
  <si>
    <t xml:space="preserve">Appliances</t>
  </si>
  <si>
    <t xml:space="preserve">Plumbing Repairs</t>
  </si>
  <si>
    <t xml:space="preserve">Electrical Updates</t>
  </si>
  <si>
    <t xml:space="preserve">HVAC</t>
  </si>
  <si>
    <t xml:space="preserve">Windows/Doors</t>
  </si>
  <si>
    <t xml:space="preserve">Landscaping</t>
  </si>
  <si>
    <t xml:space="preserve">Roof Repairs</t>
  </si>
  <si>
    <t xml:space="preserve">Other</t>
  </si>
  <si>
    <t xml:space="preserve">SUBTOTAL</t>
  </si>
  <si>
    <t xml:space="preserve">Contingency (10%)</t>
  </si>
  <si>
    <t xml:space="preserve">TOTAL PER UNIT</t>
  </si>
  <si>
    <t xml:space="preserve">SUMMARY</t>
  </si>
  <si>
    <t xml:space="preserve">Total Renovation Budget</t>
  </si>
  <si>
    <t xml:space="preserve">Average Cost Per Unit</t>
  </si>
  <si>
    <t xml:space="preserve">Cost Per Square Foot</t>
  </si>
  <si>
    <t xml:space="preserve">$/SF</t>
  </si>
  <si>
    <t xml:space="preserve">CONVERSION COSTS</t>
  </si>
  <si>
    <t xml:space="preserve">Legal &amp; Subdivision Expenses</t>
  </si>
  <si>
    <t xml:space="preserve">CONVERSION TYPE SELECTION</t>
  </si>
  <si>
    <t xml:space="preserve">Conversion Type</t>
  </si>
  <si>
    <t xml:space="preserve">Condo Conversion</t>
  </si>
  <si>
    <t xml:space="preserve">Select: Condo/Townhome/Co-op/Subdivision/None</t>
  </si>
  <si>
    <t xml:space="preserve">From Property Setup sheet</t>
  </si>
  <si>
    <t xml:space="preserve">ITEMIZED CONVERSION COSTS</t>
  </si>
  <si>
    <t xml:space="preserve">Item</t>
  </si>
  <si>
    <t xml:space="preserve">Cost</t>
  </si>
  <si>
    <t xml:space="preserve">Survey &amp; Engineering</t>
  </si>
  <si>
    <t xml:space="preserve">Boundary survey, plat preparation</t>
  </si>
  <si>
    <t xml:space="preserve">Real Estate Attorney</t>
  </si>
  <si>
    <t xml:space="preserve">Legal docs, condo/co-op formation</t>
  </si>
  <si>
    <t xml:space="preserve">HOA/Co-op Formation</t>
  </si>
  <si>
    <t xml:space="preserve">Articles, bylaws, CC&amp;Rs</t>
  </si>
  <si>
    <t xml:space="preserve">Title Work (Per Unit)</t>
  </si>
  <si>
    <t xml:space="preserve">Separate titles for each unit</t>
  </si>
  <si>
    <t xml:space="preserve">County/City Fees &amp; Permits</t>
  </si>
  <si>
    <t xml:space="preserve">Application, recording, permits</t>
  </si>
  <si>
    <t xml:space="preserve">Utility Separation</t>
  </si>
  <si>
    <t xml:space="preserve">If meters need to be separated</t>
  </si>
  <si>
    <t xml:space="preserve">Environmental Inspections</t>
  </si>
  <si>
    <t xml:space="preserve">Phase I, Phase II if needed</t>
  </si>
  <si>
    <t xml:space="preserve">Architectural Plans</t>
  </si>
  <si>
    <t xml:space="preserve">If required by county</t>
  </si>
  <si>
    <t xml:space="preserve">Insurance (During Conversion)</t>
  </si>
  <si>
    <t xml:space="preserve">Builder's risk, liability</t>
  </si>
  <si>
    <t xml:space="preserve">Miscellaneous costs</t>
  </si>
  <si>
    <t xml:space="preserve">TOTAL CONVERSION COST</t>
  </si>
  <si>
    <t xml:space="preserve">CONVERSION COST PER UNIT</t>
  </si>
  <si>
    <t xml:space="preserve">ESTIMATED TIMELINE</t>
  </si>
  <si>
    <t xml:space="preserve">County Approval Process</t>
  </si>
  <si>
    <t xml:space="preserve">6-12 months</t>
  </si>
  <si>
    <t xml:space="preserve">Typical range</t>
  </si>
  <si>
    <t xml:space="preserve">Legal Document Preparation</t>
  </si>
  <si>
    <t xml:space="preserve">2-4 months</t>
  </si>
  <si>
    <t xml:space="preserve">Overlaps with county</t>
  </si>
  <si>
    <t xml:space="preserve">Total Estimated Duration</t>
  </si>
  <si>
    <t xml:space="preserve">9-14 months</t>
  </si>
  <si>
    <t xml:space="preserve">From start to sellable units</t>
  </si>
  <si>
    <t xml:space="preserve">EXIT STRATEGY COMPARISON</t>
  </si>
  <si>
    <t xml:space="preserve">Compare 5 Exit Options to Find the Best Strategy</t>
  </si>
  <si>
    <t xml:space="preserve">Strategy 1: Subdivide/Convert &amp; Sell</t>
  </si>
  <si>
    <t xml:space="preserve">Amount</t>
  </si>
  <si>
    <t xml:space="preserve">Formula/Notes</t>
  </si>
  <si>
    <t xml:space="preserve">Individual Unit Sale Prices (Total)</t>
  </si>
  <si>
    <t xml:space="preserve">Sum of all unit sales</t>
  </si>
  <si>
    <t xml:space="preserve">Selling Costs (7.5%)</t>
  </si>
  <si>
    <t xml:space="preserve">Commission + closing</t>
  </si>
  <si>
    <t xml:space="preserve">Net Proceeds from Sales</t>
  </si>
  <si>
    <t xml:space="preserve">Less: Remaining Loan Balance</t>
  </si>
  <si>
    <t xml:space="preserve">From acquisition</t>
  </si>
  <si>
    <t xml:space="preserve">Less: Renovation Cost</t>
  </si>
  <si>
    <t xml:space="preserve">Total renovation</t>
  </si>
  <si>
    <t xml:space="preserve">Less: Conversion Cost</t>
  </si>
  <si>
    <t xml:space="preserve">Legal/subdivision</t>
  </si>
  <si>
    <t xml:space="preserve">Net Profit</t>
  </si>
  <si>
    <t xml:space="preserve">Total Project Cost</t>
  </si>
  <si>
    <t xml:space="preserve">Return on Investment (ROI)</t>
  </si>
  <si>
    <t xml:space="preserve">Net profit / Total invested</t>
  </si>
  <si>
    <t xml:space="preserve">Cash-on-Cash Return</t>
  </si>
  <si>
    <t xml:space="preserve">Net profit / Cash invested</t>
  </si>
  <si>
    <t xml:space="preserve">Strategy 2: Sell As-Is</t>
  </si>
  <si>
    <t xml:space="preserve">As-Is Sale Price</t>
  </si>
  <si>
    <t xml:space="preserve">What investors will pay</t>
  </si>
  <si>
    <t xml:space="preserve">Net Proceeds from Sale</t>
  </si>
  <si>
    <t xml:space="preserve">Pay off loan</t>
  </si>
  <si>
    <t xml:space="preserve">If any renovation done</t>
  </si>
  <si>
    <t xml:space="preserve">Strategy 3: BRRRR (Refinance &amp; Hold)</t>
  </si>
  <si>
    <t xml:space="preserve">Stabilized Property Value</t>
  </si>
  <si>
    <t xml:space="preserve">ARV after renovation</t>
  </si>
  <si>
    <t xml:space="preserve">Refinance Amount (75% LTV)</t>
  </si>
  <si>
    <t xml:space="preserve">Typical max for refi</t>
  </si>
  <si>
    <t xml:space="preserve">Less: Original Loan Balance</t>
  </si>
  <si>
    <t xml:space="preserve">Pay off original</t>
  </si>
  <si>
    <t xml:space="preserve">Cash-Out Proceeds</t>
  </si>
  <si>
    <t xml:space="preserve">Cash returned</t>
  </si>
  <si>
    <t xml:space="preserve">Less: Total Cash Invested</t>
  </si>
  <si>
    <t xml:space="preserve">Original investment</t>
  </si>
  <si>
    <t xml:space="preserve">Net Position</t>
  </si>
  <si>
    <t xml:space="preserve">Positive = money returned</t>
  </si>
  <si>
    <t xml:space="preserve">Annual Rental Income</t>
  </si>
  <si>
    <t xml:space="preserve">All units at market rent</t>
  </si>
  <si>
    <t xml:space="preserve">Annual Operating Expenses</t>
  </si>
  <si>
    <t xml:space="preserve">50% of rent rule</t>
  </si>
  <si>
    <t xml:space="preserve">Annual Debt Service (New Loan)</t>
  </si>
  <si>
    <t xml:space="preserve">New loan payment</t>
  </si>
  <si>
    <t xml:space="preserve">Annual Cash Flow</t>
  </si>
  <si>
    <t xml:space="preserve">NOI - debt service</t>
  </si>
  <si>
    <t xml:space="preserve">Annual CF / Cash left in</t>
  </si>
  <si>
    <t xml:space="preserve">Strategy 4: Hybrid (Sell Some, Hold Some)</t>
  </si>
  <si>
    <t xml:space="preserve">Units to Sell (After Conversion)</t>
  </si>
  <si>
    <t xml:space="preserve">Number of units selling</t>
  </si>
  <si>
    <t xml:space="preserve">Units to Hold as Rentals</t>
  </si>
  <si>
    <t xml:space="preserve">Number keeping</t>
  </si>
  <si>
    <t xml:space="preserve">Sale Proceeds (Units Sold)</t>
  </si>
  <si>
    <t xml:space="preserve">Total from sales</t>
  </si>
  <si>
    <t xml:space="preserve">Selling Costs</t>
  </si>
  <si>
    <t xml:space="preserve">Net from Sales</t>
  </si>
  <si>
    <t xml:space="preserve">Less: Loan Payoff</t>
  </si>
  <si>
    <t xml:space="preserve">Original loan</t>
  </si>
  <si>
    <t xml:space="preserve">Cash Returned</t>
  </si>
  <si>
    <t xml:space="preserve">Retained Unit Value</t>
  </si>
  <si>
    <t xml:space="preserve">Value of units kept</t>
  </si>
  <si>
    <t xml:space="preserve">Annual Rental Income (Held Units)</t>
  </si>
  <si>
    <t xml:space="preserve">Rent from kept units</t>
  </si>
  <si>
    <t xml:space="preserve">Total Value Created</t>
  </si>
  <si>
    <t xml:space="preserve">Cash + retained equity</t>
  </si>
  <si>
    <t xml:space="preserve">Total value / Invested</t>
  </si>
  <si>
    <t xml:space="preserve">Strategy 5: Wholesale</t>
  </si>
  <si>
    <t xml:space="preserve">Your Purchase Price</t>
  </si>
  <si>
    <t xml:space="preserve">What you paid</t>
  </si>
  <si>
    <t xml:space="preserve">Assignment Fee</t>
  </si>
  <si>
    <t xml:space="preserve">What buyer pays you</t>
  </si>
  <si>
    <t xml:space="preserve">Total Investor Price</t>
  </si>
  <si>
    <t xml:space="preserve">What buyer pays total</t>
  </si>
  <si>
    <t xml:space="preserve">Your Net Profit</t>
  </si>
  <si>
    <t xml:space="preserve">Assignment fee</t>
  </si>
  <si>
    <t xml:space="preserve">Cash Invested</t>
  </si>
  <si>
    <t xml:space="preserve">Due diligence only</t>
  </si>
  <si>
    <t xml:space="preserve">Return on Investment</t>
  </si>
  <si>
    <t xml:space="preserve">Profit / Invested</t>
  </si>
  <si>
    <t xml:space="preserve">STRATEGY COMPARISON SUMMARY</t>
  </si>
  <si>
    <t xml:space="preserve">Strategy</t>
  </si>
  <si>
    <t xml:space="preserve">Net Profit/Value</t>
  </si>
  <si>
    <t xml:space="preserve">ROI</t>
  </si>
  <si>
    <t xml:space="preserve">Recommendation</t>
  </si>
  <si>
    <t xml:space="preserve">CASH FLOW PROJECTION</t>
  </si>
  <si>
    <t xml:space="preserve">18-Month Cash Requirements Timeline</t>
  </si>
  <si>
    <t xml:space="preserve">PROJECT TIMELINE</t>
  </si>
  <si>
    <t xml:space="preserve">CASH FLOW ITEM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</si>
  <si>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</si>
  <si>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</si>
  <si>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</si>
  <si>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</si>
  <si>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</si>
  <si>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</si>
  <si>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</si>
  <si>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</si>
  <si>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</si>
  <si>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</si>
  <si>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</si>
  <si>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</si>
  <si>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 13</t>
  </si>
  <si>
    <t xml:space="preserve">Month 14</t>
  </si>
  <si>
    <t xml:space="preserve">Month 15</t>
  </si>
  <si>
    <t xml:space="preserve">Month 16</t>
  </si>
  <si>
    <t xml:space="preserve">Month 17</t>
  </si>
  <si>
    <t xml:space="preserve">Month 18</t>
  </si>
  <si>
    <t xml:space="preserve">CASH OUTFLOWS</t>
  </si>
  <si>
    <t xml:space="preserve">Renovation Costs</t>
  </si>
  <si>
    <t xml:space="preserve">Conversion Costs</t>
  </si>
  <si>
    <t xml:space="preserve">Mortgage Payment</t>
  </si>
  <si>
    <t xml:space="preserve">Property Taxes</t>
  </si>
  <si>
    <t xml:space="preserve">Insurance</t>
  </si>
  <si>
    <t xml:space="preserve">Utilities (Vacant)</t>
  </si>
  <si>
    <t xml:space="preserve">Total Outflows</t>
  </si>
  <si>
    <t xml:space="preserve">CASH INFLOWS</t>
  </si>
  <si>
    <t xml:space="preserve">Unit Sales</t>
  </si>
  <si>
    <t xml:space="preserve">Rental Income</t>
  </si>
  <si>
    <t xml:space="preserve">Refinance Proceeds</t>
  </si>
  <si>
    <t xml:space="preserve">Total Inflows</t>
  </si>
  <si>
    <t xml:space="preserve">NET CASH FLOW</t>
  </si>
  <si>
    <t xml:space="preserve">Cumulative Cash Position</t>
  </si>
  <si>
    <t xml:space="preserve">HOW TO USE THIS TEMPLATE</t>
  </si>
  <si>
    <t xml:space="preserve">QUICK START GUIDE</t>
  </si>
  <si>
    <t xml:space="preserve">This template analyzes 2-10 unit properties with multiple exit strategies including:</t>
  </si>
  <si>
    <t xml:space="preserve">• Condo/townhome conversion and individual sales</t>
  </si>
  <si>
    <t xml:space="preserve">• As-is sale to investors</t>
  </si>
  <si>
    <t xml:space="preserve">• BRRRR (Buy, Renovate, Rent, Refinance, Repeat)</t>
  </si>
  <si>
    <t xml:space="preserve">• Hybrid strategy (sell some units, hold others)</t>
  </si>
  <si>
    <t xml:space="preserve">• Wholesale assignment</t>
  </si>
  <si>
    <t xml:space="preserve">STEP-BY-STEP WORKFLOW:</t>
  </si>
  <si>
    <t xml:space="preserve">1. PROPERTY SETUP (10 minutes)</t>
  </si>
  <si>
    <t xml:space="preserve">   • Enter property address and details</t>
  </si>
  <si>
    <t xml:space="preserve">   • Complete unit information (beds, baths, SF, rent)</t>
  </si>
  <si>
    <t xml:space="preserve">   • Fill in only the units you have (2-10 units)</t>
  </si>
  <si>
    <t xml:space="preserve">   • Leave unused unit rows blank</t>
  </si>
  <si>
    <t xml:space="preserve">2. ACQUISITION (15 minutes)</t>
  </si>
  <si>
    <t xml:space="preserve">   • Enter purchase price (negotiate!)</t>
  </si>
  <si>
    <t xml:space="preserve">   • Review 4 financing options</t>
  </si>
  <si>
    <t xml:space="preserve">   • Compare cash required for each option</t>
  </si>
  <si>
    <t xml:space="preserve">   • Select financing that fits your strategy</t>
  </si>
  <si>
    <t xml:space="preserve">3. RENOVATION BUDGET (20 minutes)</t>
  </si>
  <si>
    <t xml:space="preserve">   • Get contractor bids FIRST</t>
  </si>
  <si>
    <t xml:space="preserve">   • Enter actual costs by unit and category</t>
  </si>
  <si>
    <t xml:space="preserve">   • 10% contingency added automatically</t>
  </si>
  <si>
    <t xml:space="preserve">   • Leave units blank if not renovating</t>
  </si>
  <si>
    <t xml:space="preserve">4. CONVERSION COSTS (10 minutes)</t>
  </si>
  <si>
    <t xml:space="preserve">   • Select conversion type (condo/townhome/co-op/subdivision)</t>
  </si>
  <si>
    <t xml:space="preserve">   • Get actual quotes from attorney and surveyor</t>
  </si>
  <si>
    <t xml:space="preserve">   • Enter itemized costs</t>
  </si>
  <si>
    <t xml:space="preserve">   • Verify county allows conversions!</t>
  </si>
  <si>
    <t xml:space="preserve">5. EXIT STRATEGIES (30 minutes - MOST IMPORTANT)</t>
  </si>
  <si>
    <t xml:space="preserve">   • Compare all 5 exit options side-by-side</t>
  </si>
  <si>
    <t xml:space="preserve">   • Enter expected sale prices/values</t>
  </si>
  <si>
    <t xml:space="preserve">   • Review ROI for each strategy</t>
  </si>
  <si>
    <t xml:space="preserve">   • Select best option for your situation</t>
  </si>
  <si>
    <t xml:space="preserve">6. CASH FLOW (10 minutes)</t>
  </si>
  <si>
    <t xml:space="preserve">   • Review month-by-month cash requirements</t>
  </si>
  <si>
    <t xml:space="preserve">   • Ensure you have adequate reserves</t>
  </si>
  <si>
    <t xml:space="preserve">   • Plan for worst-case timeline</t>
  </si>
  <si>
    <t xml:space="preserve">CRITICAL SUCCESS FACTORS:</t>
  </si>
  <si>
    <t xml:space="preserve">• BUY RIGHT: The 70% Rule still applies</t>
  </si>
  <si>
    <t xml:space="preserve">• VERIFY ZONING: Call county before making offer</t>
  </si>
  <si>
    <t xml:space="preserve">• GET ACTUAL BIDS: Never estimate renovation costs</t>
  </si>
  <si>
    <t xml:space="preserve">• PLAN FOR DELAYS: Add 3-6 months to timelines</t>
  </si>
  <si>
    <t xml:space="preserve">• HAVE RESERVES: Need 6-12 months of carrying costs</t>
  </si>
  <si>
    <t xml:space="preserve">CONVERSION PREMIUM TARGET:</t>
  </si>
  <si>
    <t xml:space="preserve">• Individual units should sell for 20-30% more than as-is property value</t>
  </si>
  <si>
    <t xml:space="preserve">• If premium is less than 15%, consider selling as-is instead</t>
  </si>
  <si>
    <t xml:space="preserve">• Factor in 9-14 months of carrying costs and conversion fees</t>
  </si>
  <si>
    <t xml:space="preserve">COLOR CODING:</t>
  </si>
  <si>
    <t xml:space="preserve">• BLUE = Inputs (enter your data here)</t>
  </si>
  <si>
    <t xml:space="preserve">• BLACK = Formulas (calculated automatically)</t>
  </si>
  <si>
    <t xml:space="preserve">• GREEN = Links to other sheets (pulled from other tabs)</t>
  </si>
  <si>
    <t xml:space="preserve">NEED HELP?</t>
  </si>
  <si>
    <t xml:space="preserve">• Read the complete guide in MultiUnit_Subdivision_Template_Guide.md</t>
  </si>
  <si>
    <t xml:space="preserve">• Call county planning department for zoning questions</t>
  </si>
  <si>
    <t xml:space="preserve">• Interview 2-3 real estate attorneys who specialize in conversions</t>
  </si>
  <si>
    <t xml:space="preserve">• Get contractor bids before making offers</t>
  </si>
  <si>
    <t xml:space="preserve">Remember: This template helps you analyze deals - but buying right is 90% of success!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</si>
</sst>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66092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366092"/>
      <name val="Cambria"/>
      <family val="0"/>
      <charset val="1"/>
    </font>
    <font>
      <sz val="10"/>
      <name val="Cambria"/>
      <family val="0"/>
      <charset val="1"/>
    </font>
    <font>
      <b val="true"/>
      <sz val="12"/>
      <color rgb="FF36609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D9D9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/>
    </row>
    <row r="6" customFormat="false" ht="15" hidden="false" customHeight="false" outlineLevel="0" collapsed="false">
      <c r="A6" s="5" t="s">
        <v>6</v>
      </c>
      <c r="B6" s="6"/>
      <c r="C6" s="7" t="s">
        <v>7</v>
      </c>
    </row>
    <row r="7" customFormat="false" ht="15" hidden="false" customHeight="false" outlineLevel="0" collapsed="false">
      <c r="A7" s="5" t="s">
        <v>8</v>
      </c>
      <c r="B7" s="6"/>
      <c r="C7" s="7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  <c r="C8" s="7" t="s">
        <v>12</v>
      </c>
    </row>
    <row r="9" customFormat="false" ht="15" hidden="false" customHeight="false" outlineLevel="0" collapsed="false">
      <c r="A9" s="5" t="s">
        <v>13</v>
      </c>
      <c r="B9" s="6" t="n">
        <v>2</v>
      </c>
      <c r="C9" s="7" t="s">
        <v>14</v>
      </c>
    </row>
    <row r="10" customFormat="false" ht="15" hidden="false" customHeight="false" outlineLevel="0" collapsed="false">
      <c r="A10" s="5" t="s">
        <v>15</v>
      </c>
      <c r="B10" s="6" t="n">
        <v>0</v>
      </c>
      <c r="C10" s="7" t="s">
        <v>16</v>
      </c>
    </row>
    <row r="11" customFormat="false" ht="15" hidden="false" customHeight="false" outlineLevel="0" collapsed="false">
      <c r="A11" s="5" t="s">
        <v>17</v>
      </c>
      <c r="B11" s="6" t="n">
        <v>0</v>
      </c>
      <c r="C11" s="7" t="s">
        <v>18</v>
      </c>
    </row>
    <row r="12" customFormat="false" ht="15" hidden="false" customHeight="false" outlineLevel="0" collapsed="false">
      <c r="A12" s="5" t="s">
        <v>19</v>
      </c>
      <c r="B12" s="6" t="n">
        <v>0</v>
      </c>
      <c r="C12" s="7" t="s">
        <v>20</v>
      </c>
    </row>
    <row r="13" customFormat="false" ht="15" hidden="false" customHeight="false" outlineLevel="0" collapsed="false">
      <c r="A13" s="5" t="s">
        <v>21</v>
      </c>
      <c r="B13" s="6"/>
      <c r="C13" s="7" t="s">
        <v>22</v>
      </c>
    </row>
    <row r="14" customFormat="false" ht="15" hidden="false" customHeight="false" outlineLevel="0" collapsed="false">
      <c r="A14" s="5" t="s">
        <v>23</v>
      </c>
      <c r="B14" s="6" t="s">
        <v>24</v>
      </c>
      <c r="C14" s="7" t="s">
        <v>25</v>
      </c>
    </row>
    <row r="16" customFormat="false" ht="15" hidden="false" customHeight="false" outlineLevel="0" collapsed="false">
      <c r="A16" s="3" t="s">
        <v>26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8" t="s">
        <v>27</v>
      </c>
      <c r="B17" s="8" t="s">
        <v>28</v>
      </c>
      <c r="C17" s="8" t="s">
        <v>29</v>
      </c>
      <c r="D17" s="8" t="s">
        <v>30</v>
      </c>
      <c r="E17" s="8" t="s">
        <v>31</v>
      </c>
      <c r="F17" s="8" t="s">
        <v>32</v>
      </c>
      <c r="G17" s="8" t="s">
        <v>33</v>
      </c>
      <c r="H17" s="8" t="s">
        <v>34</v>
      </c>
      <c r="I17" s="8" t="s">
        <v>35</v>
      </c>
      <c r="J17" s="8" t="s">
        <v>5</v>
      </c>
    </row>
    <row r="18" customFormat="false" ht="15" hidden="false" customHeight="false" outlineLevel="0" collapsed="false">
      <c r="A18" s="5" t="s">
        <v>36</v>
      </c>
      <c r="B18" s="9"/>
      <c r="C18" s="9"/>
      <c r="D18" s="9"/>
      <c r="E18" s="9"/>
      <c r="F18" s="9"/>
      <c r="G18" s="6" t="s">
        <v>37</v>
      </c>
      <c r="H18" s="6" t="s">
        <v>38</v>
      </c>
      <c r="I18" s="6"/>
      <c r="J18" s="6"/>
    </row>
    <row r="19" customFormat="false" ht="15" hidden="false" customHeight="false" outlineLevel="0" collapsed="false">
      <c r="A19" s="5" t="s">
        <v>39</v>
      </c>
      <c r="B19" s="9"/>
      <c r="C19" s="9"/>
      <c r="D19" s="9"/>
      <c r="E19" s="9"/>
      <c r="F19" s="9"/>
      <c r="G19" s="6" t="s">
        <v>37</v>
      </c>
      <c r="H19" s="6" t="s">
        <v>38</v>
      </c>
      <c r="I19" s="6"/>
      <c r="J19" s="6"/>
    </row>
    <row r="20" customFormat="false" ht="15" hidden="false" customHeight="false" outlineLevel="0" collapsed="false">
      <c r="A20" s="5" t="s">
        <v>40</v>
      </c>
      <c r="B20" s="9"/>
      <c r="C20" s="9"/>
      <c r="D20" s="9"/>
      <c r="E20" s="9"/>
      <c r="F20" s="9"/>
      <c r="G20" s="6" t="s">
        <v>37</v>
      </c>
      <c r="H20" s="6" t="s">
        <v>38</v>
      </c>
      <c r="I20" s="6"/>
      <c r="J20" s="6"/>
    </row>
    <row r="21" customFormat="false" ht="15" hidden="false" customHeight="false" outlineLevel="0" collapsed="false">
      <c r="A21" s="5" t="s">
        <v>41</v>
      </c>
      <c r="B21" s="9"/>
      <c r="C21" s="9"/>
      <c r="D21" s="9"/>
      <c r="E21" s="9"/>
      <c r="F21" s="9"/>
      <c r="G21" s="6" t="s">
        <v>37</v>
      </c>
      <c r="H21" s="6" t="s">
        <v>38</v>
      </c>
      <c r="I21" s="6"/>
      <c r="J21" s="6"/>
    </row>
    <row r="22" customFormat="false" ht="15" hidden="false" customHeight="false" outlineLevel="0" collapsed="false">
      <c r="A22" s="5" t="s">
        <v>42</v>
      </c>
      <c r="B22" s="9"/>
      <c r="C22" s="9"/>
      <c r="D22" s="9"/>
      <c r="E22" s="9"/>
      <c r="F22" s="9"/>
      <c r="G22" s="6" t="s">
        <v>37</v>
      </c>
      <c r="H22" s="6" t="s">
        <v>38</v>
      </c>
      <c r="I22" s="6"/>
      <c r="J22" s="6"/>
    </row>
    <row r="23" customFormat="false" ht="15" hidden="false" customHeight="false" outlineLevel="0" collapsed="false">
      <c r="A23" s="5" t="s">
        <v>43</v>
      </c>
      <c r="B23" s="9"/>
      <c r="C23" s="9"/>
      <c r="D23" s="9"/>
      <c r="E23" s="9"/>
      <c r="F23" s="9"/>
      <c r="G23" s="6" t="s">
        <v>37</v>
      </c>
      <c r="H23" s="6" t="s">
        <v>38</v>
      </c>
      <c r="I23" s="6"/>
      <c r="J23" s="6"/>
    </row>
    <row r="24" customFormat="false" ht="15" hidden="false" customHeight="false" outlineLevel="0" collapsed="false">
      <c r="A24" s="5" t="s">
        <v>44</v>
      </c>
      <c r="B24" s="9"/>
      <c r="C24" s="9"/>
      <c r="D24" s="9"/>
      <c r="E24" s="9"/>
      <c r="F24" s="9"/>
      <c r="G24" s="6" t="s">
        <v>37</v>
      </c>
      <c r="H24" s="6" t="s">
        <v>38</v>
      </c>
      <c r="I24" s="6"/>
      <c r="J24" s="6"/>
    </row>
    <row r="25" customFormat="false" ht="15" hidden="false" customHeight="false" outlineLevel="0" collapsed="false">
      <c r="A25" s="5" t="s">
        <v>45</v>
      </c>
      <c r="B25" s="9"/>
      <c r="C25" s="9"/>
      <c r="D25" s="9"/>
      <c r="E25" s="9"/>
      <c r="F25" s="9"/>
      <c r="G25" s="6" t="s">
        <v>37</v>
      </c>
      <c r="H25" s="6" t="s">
        <v>38</v>
      </c>
      <c r="I25" s="6"/>
      <c r="J25" s="6"/>
    </row>
    <row r="26" customFormat="false" ht="15" hidden="false" customHeight="false" outlineLevel="0" collapsed="false">
      <c r="A26" s="5" t="s">
        <v>46</v>
      </c>
      <c r="B26" s="9"/>
      <c r="C26" s="9"/>
      <c r="D26" s="9"/>
      <c r="E26" s="9"/>
      <c r="F26" s="9"/>
      <c r="G26" s="6" t="s">
        <v>37</v>
      </c>
      <c r="H26" s="6" t="s">
        <v>38</v>
      </c>
      <c r="I26" s="6"/>
      <c r="J26" s="6"/>
    </row>
    <row r="27" customFormat="false" ht="15" hidden="false" customHeight="false" outlineLevel="0" collapsed="false">
      <c r="A27" s="5" t="s">
        <v>47</v>
      </c>
      <c r="B27" s="9"/>
      <c r="C27" s="9"/>
      <c r="D27" s="9"/>
      <c r="E27" s="9"/>
      <c r="F27" s="9"/>
      <c r="G27" s="6" t="s">
        <v>37</v>
      </c>
      <c r="H27" s="6" t="s">
        <v>38</v>
      </c>
      <c r="I27" s="6"/>
      <c r="J27" s="6"/>
    </row>
    <row r="28" customFormat="false" ht="15" hidden="false" customHeight="false" outlineLevel="0" collapsed="false">
      <c r="A28" s="10" t="s">
        <v>48</v>
      </c>
      <c r="D28" s="11" t="n">
        <f aca="false">SUM(D18:D27)</f>
        <v>0</v>
      </c>
      <c r="E28" s="12" t="n">
        <f aca="false">SUM(E18:E27)</f>
        <v>0</v>
      </c>
      <c r="F28" s="12" t="n">
        <f aca="false">SUM(F18:F27)</f>
        <v>0</v>
      </c>
    </row>
  </sheetData>
  <mergeCells count="2">
    <mergeCell ref="A4:D4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/>
      <c r="C4" s="3"/>
    </row>
    <row r="5" customFormat="false" ht="15" hidden="false" customHeight="false" outlineLevel="0" collapsed="false">
      <c r="A5" s="5" t="s">
        <v>52</v>
      </c>
      <c r="B5" s="13" t="n">
        <v>0</v>
      </c>
      <c r="C5" s="14" t="s">
        <v>53</v>
      </c>
    </row>
    <row r="6" customFormat="false" ht="15" hidden="false" customHeight="false" outlineLevel="0" collapsed="false">
      <c r="A6" s="5" t="s">
        <v>54</v>
      </c>
      <c r="B6" s="15" t="n">
        <v>0.025</v>
      </c>
      <c r="C6" s="14" t="s">
        <v>55</v>
      </c>
    </row>
    <row r="7" customFormat="false" ht="15" hidden="false" customHeight="false" outlineLevel="0" collapsed="false">
      <c r="A7" s="5" t="s">
        <v>56</v>
      </c>
      <c r="B7" s="16" t="n">
        <f aca="false">B5*B6</f>
        <v>0</v>
      </c>
      <c r="C7" s="14" t="s">
        <v>53</v>
      </c>
    </row>
    <row r="8" customFormat="false" ht="15" hidden="false" customHeight="false" outlineLevel="0" collapsed="false">
      <c r="A8" s="5" t="s">
        <v>57</v>
      </c>
      <c r="B8" s="13" t="n">
        <v>2000</v>
      </c>
      <c r="C8" s="14" t="s">
        <v>53</v>
      </c>
    </row>
    <row r="9" customFormat="false" ht="15" hidden="false" customHeight="false" outlineLevel="0" collapsed="false">
      <c r="A9" s="5" t="s">
        <v>58</v>
      </c>
      <c r="B9" s="16" t="n">
        <f aca="false">B5+B7+B8</f>
        <v>2000</v>
      </c>
      <c r="C9" s="14" t="s">
        <v>53</v>
      </c>
    </row>
    <row r="11" customFormat="false" ht="15" hidden="false" customHeight="false" outlineLevel="0" collapsed="false">
      <c r="A11" s="3" t="s">
        <v>59</v>
      </c>
      <c r="B11" s="3"/>
      <c r="C11" s="3"/>
      <c r="D11" s="3"/>
      <c r="E11" s="3"/>
    </row>
    <row r="12" customFormat="false" ht="28.35" hidden="false" customHeight="false" outlineLevel="0" collapsed="false">
      <c r="A12" s="17"/>
      <c r="B12" s="17" t="s">
        <v>60</v>
      </c>
      <c r="C12" s="17" t="s">
        <v>61</v>
      </c>
      <c r="D12" s="17" t="s">
        <v>62</v>
      </c>
      <c r="E12" s="17" t="s">
        <v>63</v>
      </c>
    </row>
    <row r="13" customFormat="false" ht="15" hidden="false" customHeight="false" outlineLevel="0" collapsed="false">
      <c r="A13" s="5" t="s">
        <v>64</v>
      </c>
      <c r="B13" s="15" t="n">
        <v>0.03</v>
      </c>
      <c r="C13" s="15" t="n">
        <v>0.035</v>
      </c>
      <c r="D13" s="15" t="n">
        <v>0.2</v>
      </c>
      <c r="E13" s="15" t="n">
        <v>0.25</v>
      </c>
    </row>
    <row r="14" customFormat="false" ht="15" hidden="false" customHeight="false" outlineLevel="0" collapsed="false">
      <c r="A14" s="5" t="s">
        <v>65</v>
      </c>
      <c r="B14" s="15" t="n">
        <v>0.075</v>
      </c>
      <c r="C14" s="15" t="n">
        <v>0.0675</v>
      </c>
      <c r="D14" s="15" t="n">
        <v>0.07</v>
      </c>
      <c r="E14" s="15" t="n">
        <v>0.12</v>
      </c>
    </row>
    <row r="15" customFormat="false" ht="15" hidden="false" customHeight="false" outlineLevel="0" collapsed="false">
      <c r="A15" s="5" t="s">
        <v>66</v>
      </c>
      <c r="B15" s="9" t="n">
        <v>30</v>
      </c>
      <c r="C15" s="9" t="n">
        <v>30</v>
      </c>
      <c r="D15" s="9" t="n">
        <v>30</v>
      </c>
      <c r="E15" s="9" t="n">
        <v>12</v>
      </c>
    </row>
    <row r="16" customFormat="false" ht="15" hidden="false" customHeight="false" outlineLevel="0" collapsed="false">
      <c r="A16" s="0" t="s">
        <v>67</v>
      </c>
      <c r="B16" s="16" t="n">
        <f aca="false">$B$5*B13</f>
        <v>0</v>
      </c>
      <c r="C16" s="16" t="n">
        <f aca="false">$B$5*C13</f>
        <v>0</v>
      </c>
      <c r="D16" s="16" t="n">
        <f aca="false">$B$5*D13</f>
        <v>0</v>
      </c>
      <c r="E16" s="16" t="n">
        <f aca="false">$B$5*E13</f>
        <v>0</v>
      </c>
    </row>
    <row r="17" customFormat="false" ht="15" hidden="false" customHeight="false" outlineLevel="0" collapsed="false">
      <c r="A17" s="0" t="s">
        <v>68</v>
      </c>
      <c r="B17" s="16" t="n">
        <f aca="false">$B$5-B16</f>
        <v>0</v>
      </c>
      <c r="C17" s="16" t="n">
        <f aca="false">$B$5-C16</f>
        <v>0</v>
      </c>
      <c r="D17" s="16" t="n">
        <f aca="false">$B$5-D16</f>
        <v>0</v>
      </c>
      <c r="E17" s="16" t="n">
        <f aca="false">$B$5-E16</f>
        <v>0</v>
      </c>
    </row>
    <row r="18" customFormat="false" ht="15" hidden="false" customHeight="false" outlineLevel="0" collapsed="false">
      <c r="A18" s="0" t="s">
        <v>69</v>
      </c>
      <c r="B18" s="16" t="n">
        <f aca="false">PMT(B14/12,B15*12,B17)</f>
        <v>-0</v>
      </c>
      <c r="C18" s="16" t="n">
        <f aca="false">PMT(C14/12,C15*12,C17)</f>
        <v>-0</v>
      </c>
      <c r="D18" s="16" t="n">
        <f aca="false">PMT(D14/12,D15*12,D17)</f>
        <v>-0</v>
      </c>
      <c r="E18" s="16" t="n">
        <f aca="false">PMT(E14/12,E15*12,E17)</f>
        <v>-0</v>
      </c>
    </row>
    <row r="19" customFormat="false" ht="15" hidden="false" customHeight="false" outlineLevel="0" collapsed="false">
      <c r="B19" s="18"/>
      <c r="C19" s="18"/>
      <c r="D19" s="18"/>
      <c r="E19" s="18"/>
    </row>
    <row r="20" customFormat="false" ht="15" hidden="false" customHeight="false" outlineLevel="0" collapsed="false">
      <c r="A20" s="5" t="s">
        <v>70</v>
      </c>
      <c r="B20" s="18"/>
      <c r="C20" s="18"/>
      <c r="D20" s="18"/>
      <c r="E20" s="18"/>
    </row>
    <row r="21" customFormat="false" ht="15" hidden="false" customHeight="false" outlineLevel="0" collapsed="false">
      <c r="A21" s="0" t="s">
        <v>71</v>
      </c>
      <c r="B21" s="16" t="n">
        <f aca="false">B16</f>
        <v>0</v>
      </c>
      <c r="C21" s="16" t="n">
        <f aca="false">C16</f>
        <v>0</v>
      </c>
      <c r="D21" s="16" t="n">
        <f aca="false">D16</f>
        <v>0</v>
      </c>
      <c r="E21" s="16" t="n">
        <f aca="false">E16</f>
        <v>0</v>
      </c>
    </row>
    <row r="22" customFormat="false" ht="15" hidden="false" customHeight="false" outlineLevel="0" collapsed="false">
      <c r="A22" s="0" t="s">
        <v>72</v>
      </c>
      <c r="B22" s="16" t="n">
        <f aca="false">$B$7</f>
        <v>0</v>
      </c>
      <c r="C22" s="16" t="n">
        <f aca="false">$B$7</f>
        <v>0</v>
      </c>
      <c r="D22" s="16" t="n">
        <f aca="false">$B$7</f>
        <v>0</v>
      </c>
      <c r="E22" s="16" t="n">
        <f aca="false">$B$7</f>
        <v>0</v>
      </c>
    </row>
    <row r="23" customFormat="false" ht="15" hidden="false" customHeight="false" outlineLevel="0" collapsed="false">
      <c r="A23" s="0" t="s">
        <v>73</v>
      </c>
      <c r="B23" s="16" t="n">
        <f aca="false">$B$8</f>
        <v>2000</v>
      </c>
      <c r="C23" s="16" t="n">
        <f aca="false">$B$8</f>
        <v>2000</v>
      </c>
      <c r="D23" s="16" t="n">
        <f aca="false">$B$8</f>
        <v>2000</v>
      </c>
      <c r="E23" s="16" t="n">
        <f aca="false">$B$8</f>
        <v>2000</v>
      </c>
    </row>
    <row r="24" customFormat="false" ht="15" hidden="false" customHeight="false" outlineLevel="0" collapsed="false">
      <c r="A24" s="0" t="s">
        <v>74</v>
      </c>
      <c r="B24" s="16" t="n">
        <f aca="false">B21+B22+B23</f>
        <v>2000</v>
      </c>
      <c r="C24" s="16" t="n">
        <f aca="false">C21+C22+C23</f>
        <v>2000</v>
      </c>
      <c r="D24" s="16" t="n">
        <f aca="false">D21+D22+D23</f>
        <v>2000</v>
      </c>
      <c r="E24" s="16" t="n">
        <f aca="false">E21+E22+E23</f>
        <v>2000</v>
      </c>
    </row>
  </sheetData>
  <mergeCells count="2">
    <mergeCell ref="A4:C4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2" min="2" style="0" width="12"/>
  </cols>
  <sheetData>
    <row r="1" customFormat="false" ht="19.7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19" t="s">
        <v>77</v>
      </c>
    </row>
    <row r="6" customFormat="false" ht="15" hidden="false" customHeight="false" outlineLevel="0" collapsed="false">
      <c r="A6" s="10" t="s">
        <v>78</v>
      </c>
      <c r="B6" s="20" t="s">
        <v>36</v>
      </c>
      <c r="C6" s="20" t="s">
        <v>39</v>
      </c>
      <c r="D6" s="20" t="s">
        <v>40</v>
      </c>
      <c r="E6" s="20" t="s">
        <v>41</v>
      </c>
      <c r="F6" s="20" t="s">
        <v>42</v>
      </c>
      <c r="G6" s="20" t="s">
        <v>43</v>
      </c>
      <c r="H6" s="20" t="s">
        <v>44</v>
      </c>
      <c r="I6" s="20" t="s">
        <v>45</v>
      </c>
      <c r="J6" s="20" t="s">
        <v>46</v>
      </c>
      <c r="K6" s="20" t="s">
        <v>47</v>
      </c>
      <c r="L6" s="20" t="s">
        <v>79</v>
      </c>
    </row>
    <row r="7" customFormat="false" ht="15" hidden="false" customHeight="false" outlineLevel="0" collapsed="false">
      <c r="A7" s="5" t="s">
        <v>80</v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2" t="n">
        <f aca="false">SUM(B7:K7)</f>
        <v>0</v>
      </c>
    </row>
    <row r="8" customFormat="false" ht="15" hidden="false" customHeight="false" outlineLevel="0" collapsed="false">
      <c r="A8" s="5" t="s">
        <v>81</v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2" t="n">
        <f aca="false">SUM(B8:K8)</f>
        <v>0</v>
      </c>
    </row>
    <row r="9" customFormat="false" ht="15" hidden="false" customHeight="false" outlineLevel="0" collapsed="false">
      <c r="A9" s="5" t="s">
        <v>82</v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2" t="n">
        <f aca="false">SUM(B9:K9)</f>
        <v>0</v>
      </c>
    </row>
    <row r="10" customFormat="false" ht="15" hidden="false" customHeight="false" outlineLevel="0" collapsed="false">
      <c r="A10" s="5" t="s">
        <v>83</v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2" t="n">
        <f aca="false">SUM(B10:K10)</f>
        <v>0</v>
      </c>
    </row>
    <row r="11" customFormat="false" ht="15" hidden="false" customHeight="false" outlineLevel="0" collapsed="false">
      <c r="A11" s="5" t="s">
        <v>84</v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2" t="n">
        <f aca="false">SUM(B11:K11)</f>
        <v>0</v>
      </c>
    </row>
    <row r="12" customFormat="false" ht="15" hidden="false" customHeight="false" outlineLevel="0" collapsed="false">
      <c r="A12" s="5" t="s">
        <v>85</v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2" t="n">
        <f aca="false">SUM(B12:K12)</f>
        <v>0</v>
      </c>
    </row>
    <row r="13" customFormat="false" ht="15" hidden="false" customHeight="false" outlineLevel="0" collapsed="false">
      <c r="A13" s="5" t="s">
        <v>86</v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2" t="n">
        <f aca="false">SUM(B13:K13)</f>
        <v>0</v>
      </c>
    </row>
    <row r="14" customFormat="false" ht="15" hidden="false" customHeight="false" outlineLevel="0" collapsed="false">
      <c r="A14" s="5" t="s">
        <v>87</v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2" t="n">
        <f aca="false">SUM(B14:K14)</f>
        <v>0</v>
      </c>
    </row>
    <row r="15" customFormat="false" ht="15" hidden="false" customHeight="false" outlineLevel="0" collapsed="false">
      <c r="A15" s="5" t="s">
        <v>88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2" t="n">
        <f aca="false">SUM(B15:K15)</f>
        <v>0</v>
      </c>
    </row>
    <row r="16" customFormat="false" ht="15" hidden="false" customHeight="false" outlineLevel="0" collapsed="false">
      <c r="A16" s="5" t="s">
        <v>89</v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2" t="n">
        <f aca="false">SUM(B16:K16)</f>
        <v>0</v>
      </c>
    </row>
    <row r="17" customFormat="false" ht="15" hidden="false" customHeight="false" outlineLevel="0" collapsed="false">
      <c r="A17" s="5" t="s">
        <v>90</v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2" t="n">
        <f aca="false">SUM(B17:K17)</f>
        <v>0</v>
      </c>
    </row>
    <row r="18" customFormat="false" ht="15" hidden="false" customHeight="false" outlineLevel="0" collapsed="false">
      <c r="A18" s="5" t="s">
        <v>91</v>
      </c>
      <c r="B18" s="13" t="n">
        <v>0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2" t="n">
        <f aca="false">SUM(B18:K18)</f>
        <v>0</v>
      </c>
    </row>
    <row r="19" customFormat="false" ht="15" hidden="false" customHeight="false" outlineLevel="0" collapsed="false">
      <c r="A19" s="5" t="s">
        <v>92</v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2" t="n">
        <f aca="false">SUM(B19:K19)</f>
        <v>0</v>
      </c>
    </row>
    <row r="20" customFormat="false" ht="15" hidden="false" customHeight="false" outlineLevel="0" collapsed="false">
      <c r="A20" s="10" t="s">
        <v>93</v>
      </c>
      <c r="B20" s="21" t="n">
        <f aca="false">SUM(B7:B19)</f>
        <v>0</v>
      </c>
      <c r="C20" s="21" t="n">
        <f aca="false">SUM(C7:C19)</f>
        <v>0</v>
      </c>
      <c r="D20" s="21" t="n">
        <f aca="false">SUM(D7:D19)</f>
        <v>0</v>
      </c>
      <c r="E20" s="21" t="n">
        <f aca="false">SUM(E7:E19)</f>
        <v>0</v>
      </c>
      <c r="F20" s="21" t="n">
        <f aca="false">SUM(F7:F19)</f>
        <v>0</v>
      </c>
      <c r="G20" s="21" t="n">
        <f aca="false">SUM(G7:G19)</f>
        <v>0</v>
      </c>
      <c r="H20" s="21" t="n">
        <f aca="false">SUM(H7:H19)</f>
        <v>0</v>
      </c>
      <c r="I20" s="21" t="n">
        <f aca="false">SUM(I7:I19)</f>
        <v>0</v>
      </c>
      <c r="J20" s="21" t="n">
        <f aca="false">SUM(J7:J19)</f>
        <v>0</v>
      </c>
      <c r="K20" s="21" t="n">
        <f aca="false">SUM(K7:K19)</f>
        <v>0</v>
      </c>
      <c r="L20" s="21" t="n">
        <f aca="false">SUM(L7:L19)</f>
        <v>0</v>
      </c>
    </row>
    <row r="21" customFormat="false" ht="15" hidden="false" customHeight="false" outlineLevel="0" collapsed="false">
      <c r="A21" s="5" t="s">
        <v>94</v>
      </c>
      <c r="B21" s="16" t="n">
        <f aca="false">B20*0.1</f>
        <v>0</v>
      </c>
      <c r="C21" s="16" t="n">
        <f aca="false">C20*0.1</f>
        <v>0</v>
      </c>
      <c r="D21" s="16" t="n">
        <f aca="false">D20*0.1</f>
        <v>0</v>
      </c>
      <c r="E21" s="16" t="n">
        <f aca="false">E20*0.1</f>
        <v>0</v>
      </c>
      <c r="F21" s="16" t="n">
        <f aca="false">F20*0.1</f>
        <v>0</v>
      </c>
      <c r="G21" s="16" t="n">
        <f aca="false">G20*0.1</f>
        <v>0</v>
      </c>
      <c r="H21" s="16" t="n">
        <f aca="false">H20*0.1</f>
        <v>0</v>
      </c>
      <c r="I21" s="16" t="n">
        <f aca="false">I20*0.1</f>
        <v>0</v>
      </c>
      <c r="J21" s="16" t="n">
        <f aca="false">J20*0.1</f>
        <v>0</v>
      </c>
      <c r="K21" s="16" t="n">
        <f aca="false">K20*0.1</f>
        <v>0</v>
      </c>
      <c r="L21" s="16" t="n">
        <f aca="false">L20*0.1</f>
        <v>0</v>
      </c>
    </row>
    <row r="22" customFormat="false" ht="15" hidden="false" customHeight="false" outlineLevel="0" collapsed="false">
      <c r="A22" s="10" t="s">
        <v>95</v>
      </c>
      <c r="B22" s="22" t="n">
        <f aca="false">B20+B21</f>
        <v>0</v>
      </c>
      <c r="C22" s="22" t="n">
        <f aca="false">C20+C21</f>
        <v>0</v>
      </c>
      <c r="D22" s="22" t="n">
        <f aca="false">D20+D21</f>
        <v>0</v>
      </c>
      <c r="E22" s="22" t="n">
        <f aca="false">E20+E21</f>
        <v>0</v>
      </c>
      <c r="F22" s="22" t="n">
        <f aca="false">F20+F21</f>
        <v>0</v>
      </c>
      <c r="G22" s="22" t="n">
        <f aca="false">G20+G21</f>
        <v>0</v>
      </c>
      <c r="H22" s="22" t="n">
        <f aca="false">H20+H21</f>
        <v>0</v>
      </c>
      <c r="I22" s="22" t="n">
        <f aca="false">I20+I21</f>
        <v>0</v>
      </c>
      <c r="J22" s="22" t="n">
        <f aca="false">J20+J21</f>
        <v>0</v>
      </c>
      <c r="K22" s="22" t="n">
        <f aca="false">K20+K21</f>
        <v>0</v>
      </c>
      <c r="L22" s="22" t="n">
        <f aca="false">L20+L21</f>
        <v>0</v>
      </c>
    </row>
    <row r="24" customFormat="false" ht="15" hidden="false" customHeight="false" outlineLevel="0" collapsed="false">
      <c r="A24" s="3" t="s">
        <v>96</v>
      </c>
      <c r="B24" s="3"/>
      <c r="C24" s="3"/>
    </row>
    <row r="25" customFormat="false" ht="15" hidden="false" customHeight="false" outlineLevel="0" collapsed="false">
      <c r="A25" s="5" t="s">
        <v>97</v>
      </c>
      <c r="B25" s="12" t="n">
        <f aca="false">L22</f>
        <v>0</v>
      </c>
      <c r="C25" s="14" t="s">
        <v>53</v>
      </c>
    </row>
    <row r="26" customFormat="false" ht="15" hidden="false" customHeight="false" outlineLevel="0" collapsed="false">
      <c r="A26" s="5" t="s">
        <v>98</v>
      </c>
      <c r="B26" s="12" t="n">
        <f aca="false">IFERROR(L22/'Property Setup'!B8,0)</f>
        <v>0</v>
      </c>
      <c r="C26" s="14" t="s">
        <v>53</v>
      </c>
    </row>
    <row r="27" customFormat="false" ht="15" hidden="false" customHeight="false" outlineLevel="0" collapsed="false">
      <c r="A27" s="5" t="s">
        <v>99</v>
      </c>
      <c r="B27" s="12" t="n">
        <f aca="false">IFERROR(B25/'Property Setup'!D28,0)</f>
        <v>0</v>
      </c>
      <c r="C27" s="14" t="s">
        <v>100</v>
      </c>
    </row>
  </sheetData>
  <mergeCells count="1"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A4" s="3" t="s">
        <v>103</v>
      </c>
      <c r="B4" s="3"/>
      <c r="C4" s="3"/>
    </row>
    <row r="5" customFormat="false" ht="15" hidden="false" customHeight="false" outlineLevel="0" collapsed="false">
      <c r="A5" s="5" t="s">
        <v>104</v>
      </c>
      <c r="B5" s="6" t="s">
        <v>105</v>
      </c>
      <c r="C5" s="7" t="s">
        <v>106</v>
      </c>
    </row>
    <row r="6" customFormat="false" ht="15" hidden="false" customHeight="false" outlineLevel="0" collapsed="false">
      <c r="A6" s="5" t="s">
        <v>13</v>
      </c>
      <c r="B6" s="23" t="str">
        <f aca="false">'Property Setup'!B8</f>
        <v>Duplex</v>
      </c>
      <c r="C6" s="7" t="s">
        <v>107</v>
      </c>
    </row>
    <row r="8" customFormat="false" ht="15" hidden="false" customHeight="false" outlineLevel="0" collapsed="false">
      <c r="A8" s="3" t="s">
        <v>108</v>
      </c>
      <c r="B8" s="3"/>
      <c r="C8" s="3"/>
    </row>
    <row r="9" customFormat="false" ht="15" hidden="false" customHeight="false" outlineLevel="0" collapsed="false">
      <c r="A9" s="4" t="s">
        <v>109</v>
      </c>
      <c r="B9" s="4" t="s">
        <v>110</v>
      </c>
      <c r="C9" s="4" t="s">
        <v>5</v>
      </c>
    </row>
    <row r="10" customFormat="false" ht="15" hidden="false" customHeight="false" outlineLevel="0" collapsed="false">
      <c r="A10" s="5" t="s">
        <v>111</v>
      </c>
      <c r="B10" s="13" t="n">
        <v>0</v>
      </c>
      <c r="C10" s="7" t="s">
        <v>112</v>
      </c>
    </row>
    <row r="11" customFormat="false" ht="15" hidden="false" customHeight="false" outlineLevel="0" collapsed="false">
      <c r="A11" s="5" t="s">
        <v>113</v>
      </c>
      <c r="B11" s="13" t="n">
        <v>0</v>
      </c>
      <c r="C11" s="7" t="s">
        <v>114</v>
      </c>
    </row>
    <row r="12" customFormat="false" ht="15" hidden="false" customHeight="false" outlineLevel="0" collapsed="false">
      <c r="A12" s="5" t="s">
        <v>115</v>
      </c>
      <c r="B12" s="13" t="n">
        <v>0</v>
      </c>
      <c r="C12" s="7" t="s">
        <v>116</v>
      </c>
    </row>
    <row r="13" customFormat="false" ht="15" hidden="false" customHeight="false" outlineLevel="0" collapsed="false">
      <c r="A13" s="5" t="s">
        <v>117</v>
      </c>
      <c r="B13" s="13" t="n">
        <v>0</v>
      </c>
      <c r="C13" s="7" t="s">
        <v>118</v>
      </c>
    </row>
    <row r="14" customFormat="false" ht="15" hidden="false" customHeight="false" outlineLevel="0" collapsed="false">
      <c r="A14" s="5" t="s">
        <v>119</v>
      </c>
      <c r="B14" s="13" t="n">
        <v>0</v>
      </c>
      <c r="C14" s="7" t="s">
        <v>120</v>
      </c>
    </row>
    <row r="15" customFormat="false" ht="15" hidden="false" customHeight="false" outlineLevel="0" collapsed="false">
      <c r="A15" s="5" t="s">
        <v>121</v>
      </c>
      <c r="B15" s="13" t="n">
        <v>0</v>
      </c>
      <c r="C15" s="7" t="s">
        <v>122</v>
      </c>
    </row>
    <row r="16" customFormat="false" ht="15" hidden="false" customHeight="false" outlineLevel="0" collapsed="false">
      <c r="A16" s="5" t="s">
        <v>123</v>
      </c>
      <c r="B16" s="13" t="n">
        <v>0</v>
      </c>
      <c r="C16" s="7" t="s">
        <v>124</v>
      </c>
    </row>
    <row r="17" customFormat="false" ht="15" hidden="false" customHeight="false" outlineLevel="0" collapsed="false">
      <c r="A17" s="5" t="s">
        <v>125</v>
      </c>
      <c r="B17" s="13" t="n">
        <v>0</v>
      </c>
      <c r="C17" s="7" t="s">
        <v>126</v>
      </c>
    </row>
    <row r="18" customFormat="false" ht="15" hidden="false" customHeight="false" outlineLevel="0" collapsed="false">
      <c r="A18" s="5" t="s">
        <v>127</v>
      </c>
      <c r="B18" s="13" t="n">
        <v>0</v>
      </c>
      <c r="C18" s="7" t="s">
        <v>128</v>
      </c>
    </row>
    <row r="19" customFormat="false" ht="15" hidden="false" customHeight="false" outlineLevel="0" collapsed="false">
      <c r="A19" s="5" t="s">
        <v>92</v>
      </c>
      <c r="B19" s="13" t="n">
        <v>0</v>
      </c>
      <c r="C19" s="7" t="s">
        <v>129</v>
      </c>
    </row>
    <row r="20" customFormat="false" ht="15" hidden="false" customHeight="false" outlineLevel="0" collapsed="false">
      <c r="A20" s="5" t="s">
        <v>93</v>
      </c>
      <c r="B20" s="21" t="n">
        <f aca="false">SUM(B10:B19)</f>
        <v>0</v>
      </c>
    </row>
    <row r="21" customFormat="false" ht="15" hidden="false" customHeight="false" outlineLevel="0" collapsed="false">
      <c r="A21" s="5" t="s">
        <v>94</v>
      </c>
      <c r="B21" s="16" t="n">
        <f aca="false">B20*0.1</f>
        <v>0</v>
      </c>
    </row>
    <row r="22" customFormat="false" ht="15" hidden="false" customHeight="false" outlineLevel="0" collapsed="false">
      <c r="A22" s="10" t="s">
        <v>130</v>
      </c>
      <c r="B22" s="22" t="n">
        <f aca="false">B20+B21</f>
        <v>0</v>
      </c>
    </row>
    <row r="24" customFormat="false" ht="15" hidden="false" customHeight="false" outlineLevel="0" collapsed="false">
      <c r="A24" s="5" t="s">
        <v>131</v>
      </c>
      <c r="B24" s="12" t="n">
        <f aca="false">IFERROR(B22/B6,0)</f>
        <v>0</v>
      </c>
    </row>
    <row r="26" customFormat="false" ht="15" hidden="false" customHeight="false" outlineLevel="0" collapsed="false">
      <c r="A26" s="3" t="s">
        <v>132</v>
      </c>
      <c r="B26" s="3"/>
      <c r="C26" s="3"/>
    </row>
    <row r="27" customFormat="false" ht="15" hidden="false" customHeight="false" outlineLevel="0" collapsed="false">
      <c r="A27" s="5" t="s">
        <v>133</v>
      </c>
      <c r="B27" s="24" t="s">
        <v>134</v>
      </c>
      <c r="C27" s="7" t="s">
        <v>135</v>
      </c>
    </row>
    <row r="28" customFormat="false" ht="15" hidden="false" customHeight="false" outlineLevel="0" collapsed="false">
      <c r="A28" s="5" t="s">
        <v>136</v>
      </c>
      <c r="B28" s="24" t="s">
        <v>137</v>
      </c>
      <c r="C28" s="7" t="s">
        <v>138</v>
      </c>
    </row>
    <row r="29" customFormat="false" ht="15" hidden="false" customHeight="false" outlineLevel="0" collapsed="false">
      <c r="A29" s="5" t="s">
        <v>139</v>
      </c>
      <c r="B29" s="24" t="s">
        <v>140</v>
      </c>
      <c r="C29" s="7" t="s">
        <v>141</v>
      </c>
    </row>
  </sheetData>
  <mergeCells count="3">
    <mergeCell ref="A4:C4"/>
    <mergeCell ref="A8:C8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5"/>
  </cols>
  <sheetData>
    <row r="1" customFormat="false" ht="19.7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3" t="s">
        <v>144</v>
      </c>
      <c r="B4" s="3"/>
      <c r="C4" s="3"/>
    </row>
    <row r="5" customFormat="false" ht="15" hidden="false" customHeight="false" outlineLevel="0" collapsed="false">
      <c r="B5" s="0" t="s">
        <v>145</v>
      </c>
      <c r="C5" s="7" t="s">
        <v>146</v>
      </c>
    </row>
    <row r="6" customFormat="false" ht="15" hidden="false" customHeight="false" outlineLevel="0" collapsed="false">
      <c r="A6" s="5" t="s">
        <v>147</v>
      </c>
      <c r="B6" s="13" t="n">
        <v>0</v>
      </c>
      <c r="C6" s="7" t="s">
        <v>148</v>
      </c>
    </row>
    <row r="7" customFormat="false" ht="15" hidden="false" customHeight="false" outlineLevel="0" collapsed="false">
      <c r="A7" s="5" t="s">
        <v>149</v>
      </c>
      <c r="B7" s="16" t="n">
        <f aca="false">B6*0.075</f>
        <v>0</v>
      </c>
      <c r="C7" s="7" t="s">
        <v>150</v>
      </c>
    </row>
    <row r="8" customFormat="false" ht="15" hidden="false" customHeight="false" outlineLevel="0" collapsed="false">
      <c r="A8" s="5" t="s">
        <v>151</v>
      </c>
      <c r="B8" s="16" t="n">
        <f aca="false">B6-B7</f>
        <v>0</v>
      </c>
      <c r="C8" s="7"/>
    </row>
    <row r="9" customFormat="false" ht="15" hidden="false" customHeight="false" outlineLevel="0" collapsed="false">
      <c r="A9" s="5" t="s">
        <v>152</v>
      </c>
      <c r="B9" s="16" t="n">
        <f aca="false">Acquisition!B17</f>
        <v>0</v>
      </c>
      <c r="C9" s="7" t="s">
        <v>153</v>
      </c>
    </row>
    <row r="10" customFormat="false" ht="15" hidden="false" customHeight="false" outlineLevel="0" collapsed="false">
      <c r="A10" s="5" t="s">
        <v>154</v>
      </c>
      <c r="B10" s="16" t="n">
        <f aca="false">'Renovation Budget'!L22</f>
        <v>0</v>
      </c>
      <c r="C10" s="7" t="s">
        <v>155</v>
      </c>
    </row>
    <row r="11" customFormat="false" ht="15" hidden="false" customHeight="false" outlineLevel="0" collapsed="false">
      <c r="A11" s="5" t="s">
        <v>156</v>
      </c>
      <c r="B11" s="16" t="n">
        <f aca="false">'Conversion Costs'!B22</f>
        <v>0</v>
      </c>
      <c r="C11" s="7" t="s">
        <v>157</v>
      </c>
    </row>
    <row r="12" customFormat="false" ht="15" hidden="false" customHeight="false" outlineLevel="0" collapsed="false">
      <c r="A12" s="5" t="s">
        <v>158</v>
      </c>
      <c r="B12" s="16" t="n">
        <f aca="false">B8-B9-B10-B11</f>
        <v>0</v>
      </c>
      <c r="C12" s="7"/>
    </row>
    <row r="13" customFormat="false" ht="15" hidden="false" customHeight="false" outlineLevel="0" collapsed="false">
      <c r="C13" s="7"/>
    </row>
    <row r="14" customFormat="false" ht="15" hidden="false" customHeight="false" outlineLevel="0" collapsed="false">
      <c r="A14" s="5" t="s">
        <v>159</v>
      </c>
      <c r="B14" s="16" t="n">
        <f aca="false">Acquisition!B24+'Renovation Budget'!L22+'Conversion Costs'!B22</f>
        <v>2000</v>
      </c>
      <c r="C14" s="7"/>
    </row>
    <row r="15" customFormat="false" ht="15" hidden="false" customHeight="false" outlineLevel="0" collapsed="false">
      <c r="A15" s="5" t="s">
        <v>160</v>
      </c>
      <c r="B15" s="25" t="n">
        <f aca="false">B12/B14</f>
        <v>0</v>
      </c>
      <c r="C15" s="7" t="s">
        <v>161</v>
      </c>
    </row>
    <row r="16" customFormat="false" ht="15" hidden="false" customHeight="false" outlineLevel="0" collapsed="false">
      <c r="A16" s="5" t="s">
        <v>162</v>
      </c>
      <c r="B16" s="25" t="n">
        <f aca="false">B12/(Acquisition!B24)</f>
        <v>0</v>
      </c>
      <c r="C16" s="7" t="s">
        <v>163</v>
      </c>
    </row>
    <row r="18" customFormat="false" ht="15" hidden="false" customHeight="false" outlineLevel="0" collapsed="false">
      <c r="A18" s="3" t="s">
        <v>164</v>
      </c>
      <c r="B18" s="3"/>
      <c r="C18" s="3"/>
    </row>
    <row r="19" customFormat="false" ht="15" hidden="false" customHeight="false" outlineLevel="0" collapsed="false">
      <c r="B19" s="0" t="s">
        <v>145</v>
      </c>
      <c r="C19" s="7" t="s">
        <v>146</v>
      </c>
    </row>
    <row r="20" customFormat="false" ht="15" hidden="false" customHeight="false" outlineLevel="0" collapsed="false">
      <c r="A20" s="5" t="s">
        <v>165</v>
      </c>
      <c r="B20" s="13" t="n">
        <v>0</v>
      </c>
      <c r="C20" s="7" t="s">
        <v>166</v>
      </c>
    </row>
    <row r="21" customFormat="false" ht="15" hidden="false" customHeight="false" outlineLevel="0" collapsed="false">
      <c r="A21" s="5" t="s">
        <v>149</v>
      </c>
      <c r="B21" s="16" t="n">
        <f aca="false">B20*0.075</f>
        <v>0</v>
      </c>
      <c r="C21" s="7" t="s">
        <v>150</v>
      </c>
    </row>
    <row r="22" customFormat="false" ht="15" hidden="false" customHeight="false" outlineLevel="0" collapsed="false">
      <c r="A22" s="5" t="s">
        <v>167</v>
      </c>
      <c r="B22" s="16" t="n">
        <f aca="false">B20-B21</f>
        <v>0</v>
      </c>
      <c r="C22" s="7"/>
    </row>
    <row r="23" customFormat="false" ht="15" hidden="false" customHeight="false" outlineLevel="0" collapsed="false">
      <c r="A23" s="5" t="s">
        <v>152</v>
      </c>
      <c r="B23" s="16" t="n">
        <f aca="false">Acquisition!B17</f>
        <v>0</v>
      </c>
      <c r="C23" s="7" t="s">
        <v>168</v>
      </c>
    </row>
    <row r="24" customFormat="false" ht="15" hidden="false" customHeight="false" outlineLevel="0" collapsed="false">
      <c r="A24" s="5" t="s">
        <v>154</v>
      </c>
      <c r="B24" s="16" t="n">
        <f aca="false">'Renovation Budget'!L22</f>
        <v>0</v>
      </c>
      <c r="C24" s="7" t="s">
        <v>169</v>
      </c>
    </row>
    <row r="25" customFormat="false" ht="15" hidden="false" customHeight="false" outlineLevel="0" collapsed="false">
      <c r="A25" s="5" t="s">
        <v>158</v>
      </c>
      <c r="B25" s="16" t="n">
        <f aca="false">B22-B23-B24</f>
        <v>0</v>
      </c>
      <c r="C25" s="7"/>
    </row>
    <row r="26" customFormat="false" ht="15" hidden="false" customHeight="false" outlineLevel="0" collapsed="false">
      <c r="C26" s="7"/>
    </row>
    <row r="27" customFormat="false" ht="15" hidden="false" customHeight="false" outlineLevel="0" collapsed="false">
      <c r="A27" s="5" t="s">
        <v>159</v>
      </c>
      <c r="B27" s="16" t="n">
        <f aca="false">Acquisition!B24+'Renovation Budget'!L22</f>
        <v>2000</v>
      </c>
      <c r="C27" s="7"/>
    </row>
    <row r="28" customFormat="false" ht="15" hidden="false" customHeight="false" outlineLevel="0" collapsed="false">
      <c r="A28" s="5" t="s">
        <v>160</v>
      </c>
      <c r="B28" s="25" t="n">
        <f aca="false">B25/B27</f>
        <v>0</v>
      </c>
      <c r="C28" s="7" t="s">
        <v>161</v>
      </c>
    </row>
    <row r="29" customFormat="false" ht="15" hidden="false" customHeight="false" outlineLevel="0" collapsed="false">
      <c r="A29" s="5" t="s">
        <v>162</v>
      </c>
      <c r="B29" s="25" t="n">
        <f aca="false">B25/(Acquisition!B24)</f>
        <v>0</v>
      </c>
      <c r="C29" s="7" t="s">
        <v>163</v>
      </c>
    </row>
    <row r="31" customFormat="false" ht="15" hidden="false" customHeight="false" outlineLevel="0" collapsed="false">
      <c r="A31" s="3" t="s">
        <v>170</v>
      </c>
      <c r="B31" s="3"/>
      <c r="C31" s="3"/>
    </row>
    <row r="32" customFormat="false" ht="15" hidden="false" customHeight="false" outlineLevel="0" collapsed="false">
      <c r="B32" s="0" t="s">
        <v>145</v>
      </c>
      <c r="C32" s="7" t="s">
        <v>146</v>
      </c>
    </row>
    <row r="33" customFormat="false" ht="15" hidden="false" customHeight="false" outlineLevel="0" collapsed="false">
      <c r="A33" s="5" t="s">
        <v>171</v>
      </c>
      <c r="B33" s="13" t="n">
        <v>0</v>
      </c>
      <c r="C33" s="7" t="s">
        <v>172</v>
      </c>
    </row>
    <row r="34" customFormat="false" ht="15" hidden="false" customHeight="false" outlineLevel="0" collapsed="false">
      <c r="A34" s="5" t="s">
        <v>173</v>
      </c>
      <c r="B34" s="16" t="n">
        <f aca="false">B33*0.75</f>
        <v>0</v>
      </c>
      <c r="C34" s="7" t="s">
        <v>174</v>
      </c>
    </row>
    <row r="35" customFormat="false" ht="15" hidden="false" customHeight="false" outlineLevel="0" collapsed="false">
      <c r="A35" s="5" t="s">
        <v>175</v>
      </c>
      <c r="B35" s="16" t="n">
        <f aca="false">Acquisition!B17</f>
        <v>0</v>
      </c>
      <c r="C35" s="7" t="s">
        <v>176</v>
      </c>
    </row>
    <row r="36" customFormat="false" ht="15" hidden="false" customHeight="false" outlineLevel="0" collapsed="false">
      <c r="A36" s="5" t="s">
        <v>177</v>
      </c>
      <c r="B36" s="16" t="n">
        <f aca="false">B34-B35</f>
        <v>0</v>
      </c>
      <c r="C36" s="7" t="s">
        <v>178</v>
      </c>
    </row>
    <row r="37" customFormat="false" ht="15" hidden="false" customHeight="false" outlineLevel="0" collapsed="false">
      <c r="A37" s="5" t="s">
        <v>179</v>
      </c>
      <c r="B37" s="16" t="n">
        <f aca="false">Acquisition!B24+'Renovation Budget'!L22</f>
        <v>2000</v>
      </c>
      <c r="C37" s="7" t="s">
        <v>180</v>
      </c>
    </row>
    <row r="38" customFormat="false" ht="15" hidden="false" customHeight="false" outlineLevel="0" collapsed="false">
      <c r="A38" s="5" t="s">
        <v>181</v>
      </c>
      <c r="B38" s="16" t="n">
        <f aca="false">B36-B37</f>
        <v>-2000</v>
      </c>
      <c r="C38" s="7" t="s">
        <v>182</v>
      </c>
    </row>
    <row r="39" customFormat="false" ht="15" hidden="false" customHeight="false" outlineLevel="0" collapsed="false">
      <c r="C39" s="7"/>
    </row>
    <row r="40" customFormat="false" ht="15" hidden="false" customHeight="false" outlineLevel="0" collapsed="false">
      <c r="A40" s="5" t="s">
        <v>183</v>
      </c>
      <c r="B40" s="13" t="n">
        <v>0</v>
      </c>
      <c r="C40" s="7" t="s">
        <v>184</v>
      </c>
    </row>
    <row r="41" customFormat="false" ht="15" hidden="false" customHeight="false" outlineLevel="0" collapsed="false">
      <c r="A41" s="5" t="s">
        <v>185</v>
      </c>
      <c r="B41" s="16" t="n">
        <f aca="false">B40*0.5</f>
        <v>0</v>
      </c>
      <c r="C41" s="7" t="s">
        <v>186</v>
      </c>
    </row>
    <row r="42" customFormat="false" ht="15" hidden="false" customHeight="false" outlineLevel="0" collapsed="false">
      <c r="A42" s="5" t="s">
        <v>187</v>
      </c>
      <c r="B42" s="16" t="n">
        <f aca="false">PMT(0.07/12,30*12,B34)*-12</f>
        <v>0</v>
      </c>
      <c r="C42" s="7" t="s">
        <v>188</v>
      </c>
    </row>
    <row r="43" customFormat="false" ht="15" hidden="false" customHeight="false" outlineLevel="0" collapsed="false">
      <c r="A43" s="5" t="s">
        <v>189</v>
      </c>
      <c r="B43" s="16" t="n">
        <f aca="false">B40-B41-B42</f>
        <v>0</v>
      </c>
      <c r="C43" s="7" t="s">
        <v>190</v>
      </c>
    </row>
    <row r="44" customFormat="false" ht="15" hidden="false" customHeight="false" outlineLevel="0" collapsed="false">
      <c r="A44" s="5" t="s">
        <v>162</v>
      </c>
      <c r="B44" s="25" t="n">
        <f aca="false">B43/(Acquisition!B24+'Renovation Budget'!L22-B36)</f>
        <v>0</v>
      </c>
      <c r="C44" s="7" t="s">
        <v>191</v>
      </c>
    </row>
    <row r="46" customFormat="false" ht="15" hidden="false" customHeight="false" outlineLevel="0" collapsed="false">
      <c r="A46" s="3" t="s">
        <v>192</v>
      </c>
      <c r="B46" s="3"/>
      <c r="C46" s="3"/>
    </row>
    <row r="47" customFormat="false" ht="15" hidden="false" customHeight="false" outlineLevel="0" collapsed="false">
      <c r="B47" s="0" t="s">
        <v>145</v>
      </c>
      <c r="C47" s="7" t="s">
        <v>146</v>
      </c>
    </row>
    <row r="48" customFormat="false" ht="15" hidden="false" customHeight="false" outlineLevel="0" collapsed="false">
      <c r="A48" s="5" t="s">
        <v>193</v>
      </c>
      <c r="B48" s="13" t="n">
        <v>0</v>
      </c>
      <c r="C48" s="7" t="s">
        <v>194</v>
      </c>
    </row>
    <row r="49" customFormat="false" ht="15" hidden="false" customHeight="false" outlineLevel="0" collapsed="false">
      <c r="A49" s="5" t="s">
        <v>195</v>
      </c>
      <c r="B49" s="13" t="n">
        <v>0</v>
      </c>
      <c r="C49" s="7" t="s">
        <v>196</v>
      </c>
    </row>
    <row r="50" customFormat="false" ht="15" hidden="false" customHeight="false" outlineLevel="0" collapsed="false">
      <c r="A50" s="5" t="s">
        <v>197</v>
      </c>
      <c r="B50" s="13" t="n">
        <v>0</v>
      </c>
      <c r="C50" s="7" t="s">
        <v>198</v>
      </c>
    </row>
    <row r="51" customFormat="false" ht="15" hidden="false" customHeight="false" outlineLevel="0" collapsed="false">
      <c r="A51" s="5" t="s">
        <v>199</v>
      </c>
      <c r="B51" s="16" t="n">
        <f aca="false">B50*0.075</f>
        <v>0</v>
      </c>
      <c r="C51" s="7" t="s">
        <v>150</v>
      </c>
    </row>
    <row r="52" customFormat="false" ht="15" hidden="false" customHeight="false" outlineLevel="0" collapsed="false">
      <c r="A52" s="5" t="s">
        <v>200</v>
      </c>
      <c r="B52" s="16" t="n">
        <f aca="false">B50-B51</f>
        <v>0</v>
      </c>
      <c r="C52" s="7"/>
    </row>
    <row r="53" customFormat="false" ht="15" hidden="false" customHeight="false" outlineLevel="0" collapsed="false">
      <c r="A53" s="5" t="s">
        <v>201</v>
      </c>
      <c r="B53" s="16" t="n">
        <f aca="false">Acquisition!B17</f>
        <v>0</v>
      </c>
      <c r="C53" s="7" t="s">
        <v>202</v>
      </c>
    </row>
    <row r="54" customFormat="false" ht="15" hidden="false" customHeight="false" outlineLevel="0" collapsed="false">
      <c r="A54" s="5" t="s">
        <v>203</v>
      </c>
      <c r="B54" s="25" t="n">
        <f aca="false">B52-B53</f>
        <v>0</v>
      </c>
      <c r="C54" s="7"/>
    </row>
    <row r="55" customFormat="false" ht="15" hidden="false" customHeight="false" outlineLevel="0" collapsed="false">
      <c r="C55" s="7"/>
    </row>
    <row r="56" customFormat="false" ht="15" hidden="false" customHeight="false" outlineLevel="0" collapsed="false">
      <c r="A56" s="5" t="s">
        <v>204</v>
      </c>
      <c r="B56" s="13" t="n">
        <v>0</v>
      </c>
      <c r="C56" s="7" t="s">
        <v>205</v>
      </c>
    </row>
    <row r="57" customFormat="false" ht="15" hidden="false" customHeight="false" outlineLevel="0" collapsed="false">
      <c r="A57" s="5" t="s">
        <v>206</v>
      </c>
      <c r="B57" s="13" t="n">
        <v>0</v>
      </c>
      <c r="C57" s="7" t="s">
        <v>207</v>
      </c>
    </row>
    <row r="58" customFormat="false" ht="15" hidden="false" customHeight="false" outlineLevel="0" collapsed="false">
      <c r="A58" s="5" t="s">
        <v>208</v>
      </c>
      <c r="B58" s="16" t="n">
        <f aca="false">B54+B56</f>
        <v>0</v>
      </c>
      <c r="C58" s="7" t="s">
        <v>209</v>
      </c>
    </row>
    <row r="59" customFormat="false" ht="15" hidden="false" customHeight="false" outlineLevel="0" collapsed="false">
      <c r="A59" s="5" t="s">
        <v>162</v>
      </c>
      <c r="B59" s="25" t="n">
        <f aca="false">B58/(Acquisition!B24+'Renovation Budget'!L22+'Conversion Costs'!B22)</f>
        <v>0</v>
      </c>
      <c r="C59" s="7" t="s">
        <v>210</v>
      </c>
    </row>
    <row r="61" customFormat="false" ht="15" hidden="false" customHeight="false" outlineLevel="0" collapsed="false">
      <c r="A61" s="3" t="s">
        <v>211</v>
      </c>
      <c r="B61" s="3"/>
      <c r="C61" s="3"/>
    </row>
    <row r="62" customFormat="false" ht="15" hidden="false" customHeight="false" outlineLevel="0" collapsed="false">
      <c r="B62" s="0" t="s">
        <v>145</v>
      </c>
      <c r="C62" s="7" t="s">
        <v>146</v>
      </c>
    </row>
    <row r="63" customFormat="false" ht="15" hidden="false" customHeight="false" outlineLevel="0" collapsed="false">
      <c r="A63" s="5" t="s">
        <v>212</v>
      </c>
      <c r="B63" s="16" t="n">
        <f aca="false">Acquisition!B5</f>
        <v>0</v>
      </c>
      <c r="C63" s="7" t="s">
        <v>213</v>
      </c>
    </row>
    <row r="64" customFormat="false" ht="15" hidden="false" customHeight="false" outlineLevel="0" collapsed="false">
      <c r="A64" s="5" t="s">
        <v>214</v>
      </c>
      <c r="B64" s="13" t="n">
        <v>0</v>
      </c>
      <c r="C64" s="7" t="s">
        <v>215</v>
      </c>
    </row>
    <row r="65" customFormat="false" ht="15" hidden="false" customHeight="false" outlineLevel="0" collapsed="false">
      <c r="A65" s="5" t="s">
        <v>216</v>
      </c>
      <c r="B65" s="16" t="n">
        <f aca="false">B63+B64</f>
        <v>0</v>
      </c>
      <c r="C65" s="7" t="s">
        <v>217</v>
      </c>
    </row>
    <row r="66" customFormat="false" ht="15" hidden="false" customHeight="false" outlineLevel="0" collapsed="false">
      <c r="C66" s="7"/>
    </row>
    <row r="67" customFormat="false" ht="15" hidden="false" customHeight="false" outlineLevel="0" collapsed="false">
      <c r="A67" s="5" t="s">
        <v>218</v>
      </c>
      <c r="B67" s="16" t="n">
        <f aca="false">B64</f>
        <v>0</v>
      </c>
      <c r="C67" s="7" t="s">
        <v>219</v>
      </c>
    </row>
    <row r="68" customFormat="false" ht="15" hidden="false" customHeight="false" outlineLevel="0" collapsed="false">
      <c r="A68" s="5" t="s">
        <v>220</v>
      </c>
      <c r="B68" s="16" t="n">
        <f aca="false">Acquisition!B8</f>
        <v>2000</v>
      </c>
      <c r="C68" s="7" t="s">
        <v>221</v>
      </c>
    </row>
    <row r="69" customFormat="false" ht="15" hidden="false" customHeight="false" outlineLevel="0" collapsed="false">
      <c r="A69" s="5" t="s">
        <v>222</v>
      </c>
      <c r="B69" s="25" t="n">
        <f aca="false">B67/B68</f>
        <v>0</v>
      </c>
      <c r="C69" s="7" t="s">
        <v>223</v>
      </c>
    </row>
    <row r="71" customFormat="false" ht="15" hidden="false" customHeight="false" outlineLevel="0" collapsed="false">
      <c r="A71" s="3" t="s">
        <v>224</v>
      </c>
      <c r="B71" s="3"/>
      <c r="C71" s="3"/>
      <c r="D71" s="3"/>
    </row>
    <row r="72" customFormat="false" ht="15" hidden="false" customHeight="false" outlineLevel="0" collapsed="false">
      <c r="A72" s="4" t="s">
        <v>225</v>
      </c>
      <c r="B72" s="4" t="s">
        <v>226</v>
      </c>
      <c r="C72" s="4" t="s">
        <v>227</v>
      </c>
      <c r="D72" s="4" t="s">
        <v>228</v>
      </c>
    </row>
  </sheetData>
  <mergeCells count="6">
    <mergeCell ref="A4:C4"/>
    <mergeCell ref="A18:C18"/>
    <mergeCell ref="A31:C31"/>
    <mergeCell ref="A46:C46"/>
    <mergeCell ref="A61:C61"/>
    <mergeCell ref="A71:D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9" min="2" style="0" width="10"/>
  </cols>
  <sheetData>
    <row r="1" customFormat="false" ht="19.7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</row>
    <row r="4" customFormat="false" ht="15" hidden="false" customHeight="false" outlineLevel="0" collapsed="false">
      <c r="A4" s="3" t="s">
        <v>231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4" t="s">
        <v>232</v>
      </c>
      <c r="B5" s="8" t="s">
        <v>233</v>
      </c>
      <c r="C5" s="8" t="s">
        <v>234</v>
      </c>
      <c r="D5" s="8" t="s">
        <v>235</v>
      </c>
      <c r="E5" s="8" t="s">
        <v>236</v>
      </c>
      <c r="F5" s="8" t="s">
        <v>237</v>
      </c>
      <c r="G5" s="8" t="s">
        <v>238</v>
      </c>
      <c r="H5" s="8" t="s">
        <v>239</v>
      </c>
      <c r="I5" s="8" t="s">
        <v>240</v>
      </c>
      <c r="J5" s="8" t="s">
        <v>241</v>
      </c>
      <c r="K5" s="8" t="s">
        <v>242</v>
      </c>
      <c r="L5" s="8" t="s">
        <v>243</v>
      </c>
      <c r="M5" s="8" t="s">
        <v>244</v>
      </c>
      <c r="N5" s="8" t="s">
        <v>245</v>
      </c>
      <c r="O5" s="8" t="s">
        <v>246</v>
      </c>
      <c r="P5" s="8" t="s">
        <v>247</v>
      </c>
      <c r="Q5" s="8" t="s">
        <v>248</v>
      </c>
      <c r="R5" s="8" t="s">
        <v>249</v>
      </c>
      <c r="S5" s="8" t="s">
        <v>250</v>
      </c>
    </row>
    <row r="6" customFormat="false" ht="15" hidden="false" customHeight="false" outlineLevel="0" collapsed="false">
      <c r="A6" s="10" t="s">
        <v>251</v>
      </c>
    </row>
    <row r="7" customFormat="false" ht="15" hidden="false" customHeight="false" outlineLevel="0" collapsed="false">
      <c r="A7" s="5" t="s">
        <v>52</v>
      </c>
    </row>
    <row r="8" customFormat="false" ht="15" hidden="false" customHeight="false" outlineLevel="0" collapsed="false">
      <c r="A8" s="5" t="s">
        <v>72</v>
      </c>
    </row>
    <row r="9" customFormat="false" ht="15" hidden="false" customHeight="false" outlineLevel="0" collapsed="false">
      <c r="A9" s="5" t="s">
        <v>252</v>
      </c>
    </row>
    <row r="10" customFormat="false" ht="15" hidden="false" customHeight="false" outlineLevel="0" collapsed="false">
      <c r="A10" s="5" t="s">
        <v>253</v>
      </c>
    </row>
    <row r="11" customFormat="false" ht="15" hidden="false" customHeight="false" outlineLevel="0" collapsed="false">
      <c r="A11" s="5" t="s">
        <v>254</v>
      </c>
    </row>
    <row r="12" customFormat="false" ht="15" hidden="false" customHeight="false" outlineLevel="0" collapsed="false">
      <c r="A12" s="5" t="s">
        <v>255</v>
      </c>
    </row>
    <row r="13" customFormat="false" ht="15" hidden="false" customHeight="false" outlineLevel="0" collapsed="false">
      <c r="A13" s="5" t="s">
        <v>256</v>
      </c>
    </row>
    <row r="14" customFormat="false" ht="15" hidden="false" customHeight="false" outlineLevel="0" collapsed="false">
      <c r="A14" s="5" t="s">
        <v>257</v>
      </c>
    </row>
    <row r="15" customFormat="false" ht="15" hidden="false" customHeight="false" outlineLevel="0" collapsed="false">
      <c r="A15" s="10" t="s">
        <v>258</v>
      </c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10" t="s">
        <v>259</v>
      </c>
    </row>
    <row r="18" customFormat="false" ht="15" hidden="false" customHeight="false" outlineLevel="0" collapsed="false">
      <c r="A18" s="5" t="s">
        <v>260</v>
      </c>
    </row>
    <row r="19" customFormat="false" ht="15" hidden="false" customHeight="false" outlineLevel="0" collapsed="false">
      <c r="A19" s="5" t="s">
        <v>261</v>
      </c>
    </row>
    <row r="20" customFormat="false" ht="15" hidden="false" customHeight="false" outlineLevel="0" collapsed="false">
      <c r="A20" s="5" t="s">
        <v>262</v>
      </c>
    </row>
    <row r="21" customFormat="false" ht="15" hidden="false" customHeight="false" outlineLevel="0" collapsed="false">
      <c r="A21" s="10" t="s">
        <v>263</v>
      </c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10" t="s">
        <v>264</v>
      </c>
    </row>
    <row r="24" customFormat="false" ht="15" hidden="false" customHeight="false" outlineLevel="0" collapsed="false">
      <c r="A24" s="10" t="s">
        <v>265</v>
      </c>
    </row>
  </sheetData>
  <mergeCells count="1">
    <mergeCell ref="A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2.05" hidden="false" customHeight="false" outlineLevel="0" collapsed="false">
      <c r="A1" s="26" t="s">
        <v>266</v>
      </c>
    </row>
    <row r="3" customFormat="false" ht="15" hidden="false" customHeight="false" outlineLevel="0" collapsed="false">
      <c r="A3" s="0" t="s">
        <v>267</v>
      </c>
    </row>
    <row r="5" customFormat="false" ht="15" hidden="false" customHeight="false" outlineLevel="0" collapsed="false">
      <c r="A5" s="5" t="s">
        <v>268</v>
      </c>
    </row>
    <row r="6" customFormat="false" ht="15" hidden="false" customHeight="false" outlineLevel="0" collapsed="false">
      <c r="A6" s="27" t="s">
        <v>269</v>
      </c>
    </row>
    <row r="7" customFormat="false" ht="15" hidden="false" customHeight="false" outlineLevel="0" collapsed="false">
      <c r="A7" s="27" t="s">
        <v>270</v>
      </c>
    </row>
    <row r="8" customFormat="false" ht="15" hidden="false" customHeight="false" outlineLevel="0" collapsed="false">
      <c r="A8" s="27" t="s">
        <v>271</v>
      </c>
    </row>
    <row r="9" customFormat="false" ht="15" hidden="false" customHeight="false" outlineLevel="0" collapsed="false">
      <c r="A9" s="27" t="s">
        <v>272</v>
      </c>
    </row>
    <row r="10" customFormat="false" ht="15" hidden="false" customHeight="false" outlineLevel="0" collapsed="false">
      <c r="A10" s="27" t="s">
        <v>273</v>
      </c>
    </row>
    <row r="12" customFormat="false" ht="15" hidden="false" customHeight="false" outlineLevel="0" collapsed="false">
      <c r="A12" s="28" t="s">
        <v>274</v>
      </c>
    </row>
    <row r="14" customFormat="false" ht="15" hidden="false" customHeight="false" outlineLevel="0" collapsed="false">
      <c r="A14" s="0" t="s">
        <v>275</v>
      </c>
    </row>
    <row r="15" customFormat="false" ht="15" hidden="false" customHeight="false" outlineLevel="0" collapsed="false">
      <c r="A15" s="0" t="s">
        <v>276</v>
      </c>
    </row>
    <row r="16" customFormat="false" ht="15" hidden="false" customHeight="false" outlineLevel="0" collapsed="false">
      <c r="A16" s="0" t="s">
        <v>277</v>
      </c>
    </row>
    <row r="17" customFormat="false" ht="15" hidden="false" customHeight="false" outlineLevel="0" collapsed="false">
      <c r="A17" s="0" t="s">
        <v>278</v>
      </c>
    </row>
    <row r="18" customFormat="false" ht="15" hidden="false" customHeight="false" outlineLevel="0" collapsed="false">
      <c r="A18" s="0" t="s">
        <v>279</v>
      </c>
    </row>
    <row r="20" customFormat="false" ht="15" hidden="false" customHeight="false" outlineLevel="0" collapsed="false">
      <c r="A20" s="0" t="s">
        <v>280</v>
      </c>
    </row>
    <row r="21" customFormat="false" ht="15" hidden="false" customHeight="false" outlineLevel="0" collapsed="false">
      <c r="A21" s="0" t="s">
        <v>281</v>
      </c>
    </row>
    <row r="22" customFormat="false" ht="15" hidden="false" customHeight="false" outlineLevel="0" collapsed="false">
      <c r="A22" s="0" t="s">
        <v>282</v>
      </c>
    </row>
    <row r="23" customFormat="false" ht="15" hidden="false" customHeight="false" outlineLevel="0" collapsed="false">
      <c r="A23" s="0" t="s">
        <v>283</v>
      </c>
    </row>
    <row r="24" customFormat="false" ht="15" hidden="false" customHeight="false" outlineLevel="0" collapsed="false">
      <c r="A24" s="0" t="s">
        <v>284</v>
      </c>
    </row>
    <row r="26" customFormat="false" ht="15" hidden="false" customHeight="false" outlineLevel="0" collapsed="false">
      <c r="A26" s="0" t="s">
        <v>285</v>
      </c>
    </row>
    <row r="27" customFormat="false" ht="15" hidden="false" customHeight="false" outlineLevel="0" collapsed="false">
      <c r="A27" s="0" t="s">
        <v>286</v>
      </c>
    </row>
    <row r="28" customFormat="false" ht="15" hidden="false" customHeight="false" outlineLevel="0" collapsed="false">
      <c r="A28" s="0" t="s">
        <v>287</v>
      </c>
    </row>
    <row r="29" customFormat="false" ht="15" hidden="false" customHeight="false" outlineLevel="0" collapsed="false">
      <c r="A29" s="0" t="s">
        <v>288</v>
      </c>
    </row>
    <row r="30" customFormat="false" ht="15" hidden="false" customHeight="false" outlineLevel="0" collapsed="false">
      <c r="A30" s="0" t="s">
        <v>289</v>
      </c>
    </row>
    <row r="32" customFormat="false" ht="15" hidden="false" customHeight="false" outlineLevel="0" collapsed="false">
      <c r="A32" s="0" t="s">
        <v>290</v>
      </c>
    </row>
    <row r="33" customFormat="false" ht="15" hidden="false" customHeight="false" outlineLevel="0" collapsed="false">
      <c r="A33" s="0" t="s">
        <v>291</v>
      </c>
    </row>
    <row r="34" customFormat="false" ht="15" hidden="false" customHeight="false" outlineLevel="0" collapsed="false">
      <c r="A34" s="0" t="s">
        <v>292</v>
      </c>
    </row>
    <row r="35" customFormat="false" ht="15" hidden="false" customHeight="false" outlineLevel="0" collapsed="false">
      <c r="A35" s="0" t="s">
        <v>293</v>
      </c>
    </row>
    <row r="36" customFormat="false" ht="15" hidden="false" customHeight="false" outlineLevel="0" collapsed="false">
      <c r="A36" s="0" t="s">
        <v>294</v>
      </c>
    </row>
    <row r="38" customFormat="false" ht="15" hidden="false" customHeight="false" outlineLevel="0" collapsed="false">
      <c r="A38" s="0" t="s">
        <v>295</v>
      </c>
    </row>
    <row r="39" customFormat="false" ht="15" hidden="false" customHeight="false" outlineLevel="0" collapsed="false">
      <c r="A39" s="0" t="s">
        <v>296</v>
      </c>
    </row>
    <row r="40" customFormat="false" ht="15" hidden="false" customHeight="false" outlineLevel="0" collapsed="false">
      <c r="A40" s="0" t="s">
        <v>297</v>
      </c>
    </row>
    <row r="41" customFormat="false" ht="15" hidden="false" customHeight="false" outlineLevel="0" collapsed="false">
      <c r="A41" s="0" t="s">
        <v>298</v>
      </c>
    </row>
    <row r="42" customFormat="false" ht="15" hidden="false" customHeight="false" outlineLevel="0" collapsed="false">
      <c r="A42" s="0" t="s">
        <v>299</v>
      </c>
    </row>
    <row r="44" customFormat="false" ht="15" hidden="false" customHeight="false" outlineLevel="0" collapsed="false">
      <c r="A44" s="0" t="s">
        <v>300</v>
      </c>
    </row>
    <row r="45" customFormat="false" ht="15" hidden="false" customHeight="false" outlineLevel="0" collapsed="false">
      <c r="A45" s="0" t="s">
        <v>301</v>
      </c>
    </row>
    <row r="46" customFormat="false" ht="15" hidden="false" customHeight="false" outlineLevel="0" collapsed="false">
      <c r="A46" s="0" t="s">
        <v>302</v>
      </c>
    </row>
    <row r="47" customFormat="false" ht="15" hidden="false" customHeight="false" outlineLevel="0" collapsed="false">
      <c r="A47" s="0" t="s">
        <v>303</v>
      </c>
    </row>
    <row r="49" customFormat="false" ht="15" hidden="false" customHeight="false" outlineLevel="0" collapsed="false">
      <c r="A49" s="28" t="s">
        <v>304</v>
      </c>
    </row>
    <row r="51" customFormat="false" ht="15" hidden="false" customHeight="false" outlineLevel="0" collapsed="false">
      <c r="A51" s="27" t="s">
        <v>305</v>
      </c>
    </row>
    <row r="52" customFormat="false" ht="15" hidden="false" customHeight="false" outlineLevel="0" collapsed="false">
      <c r="A52" s="27" t="s">
        <v>306</v>
      </c>
    </row>
    <row r="53" customFormat="false" ht="15" hidden="false" customHeight="false" outlineLevel="0" collapsed="false">
      <c r="A53" s="27" t="s">
        <v>307</v>
      </c>
    </row>
    <row r="54" customFormat="false" ht="15" hidden="false" customHeight="false" outlineLevel="0" collapsed="false">
      <c r="A54" s="27" t="s">
        <v>308</v>
      </c>
    </row>
    <row r="55" customFormat="false" ht="15" hidden="false" customHeight="false" outlineLevel="0" collapsed="false">
      <c r="A55" s="27" t="s">
        <v>309</v>
      </c>
    </row>
    <row r="57" customFormat="false" ht="15" hidden="false" customHeight="false" outlineLevel="0" collapsed="false">
      <c r="A57" s="28" t="s">
        <v>310</v>
      </c>
    </row>
    <row r="58" customFormat="false" ht="15" hidden="false" customHeight="false" outlineLevel="0" collapsed="false">
      <c r="A58" s="27" t="s">
        <v>311</v>
      </c>
    </row>
    <row r="59" customFormat="false" ht="15" hidden="false" customHeight="false" outlineLevel="0" collapsed="false">
      <c r="A59" s="27" t="s">
        <v>312</v>
      </c>
    </row>
    <row r="60" customFormat="false" ht="15" hidden="false" customHeight="false" outlineLevel="0" collapsed="false">
      <c r="A60" s="27" t="s">
        <v>313</v>
      </c>
    </row>
    <row r="62" customFormat="false" ht="15" hidden="false" customHeight="false" outlineLevel="0" collapsed="false">
      <c r="A62" s="28" t="s">
        <v>314</v>
      </c>
    </row>
    <row r="63" customFormat="false" ht="15" hidden="false" customHeight="false" outlineLevel="0" collapsed="false">
      <c r="A63" s="27" t="s">
        <v>315</v>
      </c>
    </row>
    <row r="64" customFormat="false" ht="15" hidden="false" customHeight="false" outlineLevel="0" collapsed="false">
      <c r="A64" s="27" t="s">
        <v>316</v>
      </c>
    </row>
    <row r="65" customFormat="false" ht="15" hidden="false" customHeight="false" outlineLevel="0" collapsed="false">
      <c r="A65" s="27" t="s">
        <v>317</v>
      </c>
    </row>
    <row r="67" customFormat="false" ht="15" hidden="false" customHeight="false" outlineLevel="0" collapsed="false">
      <c r="A67" s="28" t="s">
        <v>318</v>
      </c>
    </row>
    <row r="68" customFormat="false" ht="15" hidden="false" customHeight="false" outlineLevel="0" collapsed="false">
      <c r="A68" s="27" t="s">
        <v>319</v>
      </c>
    </row>
    <row r="69" customFormat="false" ht="15" hidden="false" customHeight="false" outlineLevel="0" collapsed="false">
      <c r="A69" s="27" t="s">
        <v>320</v>
      </c>
    </row>
    <row r="70" customFormat="false" ht="15" hidden="false" customHeight="false" outlineLevel="0" collapsed="false">
      <c r="A70" s="27" t="s">
        <v>321</v>
      </c>
    </row>
    <row r="71" customFormat="false" ht="15" hidden="false" customHeight="false" outlineLevel="0" collapsed="false">
      <c r="A71" s="27" t="s">
        <v>322</v>
      </c>
    </row>
    <row r="73" customFormat="false" ht="15" hidden="false" customHeight="false" outlineLevel="0" collapsed="false">
      <c r="A73" s="0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2025-11-08T21:41:13Z</dcterms:created>
  <dc:creator>openpyxl</dc:creator>
  <dc:description/>
  <dc:language>en-US</dc:language>
  <cp:lastModifiedBy/>
  <dcterms:modified xsi:type="dcterms:W3CDTF">2025-11-08T21:41:13Z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