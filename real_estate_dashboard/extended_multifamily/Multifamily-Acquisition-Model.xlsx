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Dropbox (BIWS)\M&amp;I\Articles\Real-Estate-Mini-Funnel\Real-Estate-Financial-Modeling\"/>
    </mc:Choice>
  </mc:AlternateContent>
  <xr:revisionPtr revIDLastSave="0" documentId="8_{D4F5159B-534A-4665-9829-9FEA2D26FE98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Pro-Forma" sheetId="1" r:id="rId1"/>
  </sheets>
  <definedNames>
    <definedName name="Apt_Units">'Pro-Forma'!$E$11</definedName>
    <definedName name="Entry_Cap_Rate">'Pro-Forma'!$E$20</definedName>
    <definedName name="Entry_Fee_Pct">'Pro-Forma'!$E$24</definedName>
    <definedName name="Entry_Price">'Pro-Forma'!$E$19</definedName>
    <definedName name="Exit_Cap_Rate">'Pro-Forma'!$K$19</definedName>
    <definedName name="Exit_Fee_Pct">'Pro-Forma'!$K$24</definedName>
    <definedName name="Exit_Price">'Pro-Forma'!$K$20</definedName>
    <definedName name="Gross_SF">'Pro-Forma'!$K$12</definedName>
    <definedName name="Loan_Amort_Period">'Pro-Forma'!$E$29</definedName>
    <definedName name="Loan_Fees">'Pro-Forma'!$E$25</definedName>
    <definedName name="Loan_Interest_Rate">'Pro-Forma'!$E$28</definedName>
    <definedName name="Loan_Term">'Pro-Forma'!$E$30</definedName>
    <definedName name="LTV">'Pro-Forma'!$E$27</definedName>
    <definedName name="Months">'Pro-Forma'!$E$9</definedName>
    <definedName name="Parking_Spots">'Pro-Forma'!$E$14</definedName>
    <definedName name="_xlnm.Print_Area" localSheetId="0">'Pro-Forma'!$A$1:$M$148</definedName>
    <definedName name="Prop_Mgmt_Fee">'Pro-Forma'!$K$8</definedName>
    <definedName name="Property_Name">'Pro-Forma'!$E$7</definedName>
    <definedName name="RE_Taxes_Pct_Property_Value">'Pro-Forma'!$K$7</definedName>
    <definedName name="Rentable_SF">'Pro-Forma'!$K$10</definedName>
    <definedName name="RSF_per_Unit">'Pro-Forma'!$E$12</definedName>
    <definedName name="Sale_Date">'Pro-Forma'!$K$18</definedName>
    <definedName name="Start_Date">'Pro-Forma'!$E$18</definedName>
  </definedNames>
  <calcPr calcId="181029" iterate="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1" l="1"/>
  <c r="F125" i="1" s="1"/>
  <c r="F131" i="1" s="1"/>
  <c r="J137" i="1"/>
  <c r="I137" i="1"/>
  <c r="H137" i="1"/>
  <c r="G137" i="1"/>
  <c r="J136" i="1"/>
  <c r="I136" i="1"/>
  <c r="H136" i="1"/>
  <c r="G136" i="1"/>
  <c r="J135" i="1"/>
  <c r="I135" i="1"/>
  <c r="H135" i="1"/>
  <c r="G135" i="1"/>
  <c r="F126" i="1" l="1"/>
  <c r="L96" i="1"/>
  <c r="K96" i="1"/>
  <c r="J96" i="1"/>
  <c r="I96" i="1"/>
  <c r="H96" i="1"/>
  <c r="G96" i="1"/>
  <c r="F96" i="1"/>
  <c r="F90" i="1"/>
  <c r="G59" i="1"/>
  <c r="H59" i="1" s="1"/>
  <c r="I59" i="1" s="1"/>
  <c r="J59" i="1" s="1"/>
  <c r="K59" i="1" s="1"/>
  <c r="L59" i="1" s="1"/>
  <c r="L90" i="1" s="1"/>
  <c r="F87" i="1"/>
  <c r="F78" i="1" s="1"/>
  <c r="G57" i="1"/>
  <c r="H57" i="1" s="1"/>
  <c r="I57" i="1" s="1"/>
  <c r="J57" i="1" s="1"/>
  <c r="K57" i="1" s="1"/>
  <c r="L57" i="1" s="1"/>
  <c r="L87" i="1" s="1"/>
  <c r="L78" i="1" s="1"/>
  <c r="G56" i="1"/>
  <c r="H56" i="1" s="1"/>
  <c r="I56" i="1" s="1"/>
  <c r="J56" i="1" s="1"/>
  <c r="K56" i="1" s="1"/>
  <c r="L56" i="1" s="1"/>
  <c r="F85" i="1"/>
  <c r="G85" i="1" s="1"/>
  <c r="H85" i="1" s="1"/>
  <c r="I85" i="1" s="1"/>
  <c r="J85" i="1" s="1"/>
  <c r="K85" i="1" s="1"/>
  <c r="L85" i="1" s="1"/>
  <c r="G52" i="1"/>
  <c r="H52" i="1" s="1"/>
  <c r="I52" i="1" s="1"/>
  <c r="J52" i="1" s="1"/>
  <c r="K52" i="1" s="1"/>
  <c r="L52" i="1" s="1"/>
  <c r="E14" i="1"/>
  <c r="G90" i="1" l="1"/>
  <c r="H90" i="1"/>
  <c r="I90" i="1"/>
  <c r="J90" i="1"/>
  <c r="K90" i="1"/>
  <c r="F97" i="1"/>
  <c r="F66" i="1" s="1"/>
  <c r="G87" i="1"/>
  <c r="G78" i="1" s="1"/>
  <c r="I87" i="1"/>
  <c r="I78" i="1" s="1"/>
  <c r="J87" i="1"/>
  <c r="J78" i="1" s="1"/>
  <c r="H87" i="1"/>
  <c r="H78" i="1" s="1"/>
  <c r="K87" i="1"/>
  <c r="K78" i="1" s="1"/>
  <c r="L77" i="1"/>
  <c r="G77" i="1"/>
  <c r="F77" i="1"/>
  <c r="I77" i="1"/>
  <c r="J77" i="1"/>
  <c r="H77" i="1"/>
  <c r="K77" i="1"/>
  <c r="G97" i="1" l="1"/>
  <c r="G66" i="1" s="1"/>
  <c r="H97" i="1" l="1"/>
  <c r="H66" i="1" s="1"/>
  <c r="I97" i="1" l="1"/>
  <c r="I66" i="1" s="1"/>
  <c r="J97" i="1" l="1"/>
  <c r="J66" i="1" s="1"/>
  <c r="K97" i="1" s="1"/>
  <c r="K66" i="1" s="1"/>
  <c r="K122" i="1" s="1"/>
  <c r="K136" i="1" s="1"/>
  <c r="L97" i="1" l="1"/>
  <c r="L66" i="1" s="1"/>
  <c r="F48" i="1" l="1"/>
  <c r="G44" i="1"/>
  <c r="H44" i="1" s="1"/>
  <c r="I44" i="1" s="1"/>
  <c r="K10" i="1"/>
  <c r="F74" i="1" l="1"/>
  <c r="K12" i="1"/>
  <c r="J44" i="1"/>
  <c r="K44" i="1" s="1"/>
  <c r="L44" i="1" s="1"/>
  <c r="L45" i="1" s="1"/>
  <c r="L75" i="1" s="1"/>
  <c r="I45" i="1"/>
  <c r="G45" i="1"/>
  <c r="G75" i="1" s="1"/>
  <c r="H45" i="1"/>
  <c r="F75" i="1"/>
  <c r="G74" i="1"/>
  <c r="I74" i="1"/>
  <c r="H74" i="1"/>
  <c r="E35" i="1"/>
  <c r="K37" i="1"/>
  <c r="K36" i="1"/>
  <c r="K35" i="1"/>
  <c r="K39" i="1" l="1"/>
  <c r="E36" i="1" s="1"/>
  <c r="F140" i="1" s="1"/>
  <c r="F76" i="1"/>
  <c r="F79" i="1" s="1"/>
  <c r="F80" i="1" s="1"/>
  <c r="F107" i="1"/>
  <c r="F86" i="1"/>
  <c r="I86" i="1"/>
  <c r="J86" i="1"/>
  <c r="H86" i="1"/>
  <c r="G86" i="1"/>
  <c r="L86" i="1"/>
  <c r="K86" i="1"/>
  <c r="K45" i="1"/>
  <c r="K75" i="1" s="1"/>
  <c r="J74" i="1"/>
  <c r="J45" i="1"/>
  <c r="J75" i="1" s="1"/>
  <c r="K74" i="1"/>
  <c r="L74" i="1"/>
  <c r="G76" i="1"/>
  <c r="G79" i="1" s="1"/>
  <c r="G80" i="1" s="1"/>
  <c r="I75" i="1"/>
  <c r="I76" i="1" s="1"/>
  <c r="H75" i="1"/>
  <c r="H76" i="1" s="1"/>
  <c r="F146" i="1" l="1"/>
  <c r="F141" i="1"/>
  <c r="F81" i="1"/>
  <c r="F89" i="1" s="1"/>
  <c r="L76" i="1"/>
  <c r="H79" i="1"/>
  <c r="H80" i="1" s="1"/>
  <c r="I79" i="1"/>
  <c r="I80" i="1" s="1"/>
  <c r="G81" i="1"/>
  <c r="J76" i="1"/>
  <c r="J79" i="1" s="1"/>
  <c r="J80" i="1" s="1"/>
  <c r="K76" i="1"/>
  <c r="E37" i="1"/>
  <c r="F88" i="1" l="1"/>
  <c r="F91" i="1" s="1"/>
  <c r="F93" i="1" s="1"/>
  <c r="G82" i="1"/>
  <c r="L79" i="1"/>
  <c r="G89" i="1"/>
  <c r="G88" i="1"/>
  <c r="H81" i="1"/>
  <c r="H82" i="1" s="1"/>
  <c r="I81" i="1"/>
  <c r="J81" i="1"/>
  <c r="K79" i="1"/>
  <c r="E22" i="1"/>
  <c r="E21" i="1"/>
  <c r="L80" i="1" l="1"/>
  <c r="L81" i="1" s="1"/>
  <c r="K80" i="1"/>
  <c r="K81" i="1" s="1"/>
  <c r="F99" i="1"/>
  <c r="F100" i="1" s="1"/>
  <c r="F94" i="1"/>
  <c r="G91" i="1"/>
  <c r="G93" i="1" s="1"/>
  <c r="G99" i="1" s="1"/>
  <c r="G124" i="1" s="1"/>
  <c r="G126" i="1" s="1"/>
  <c r="I82" i="1"/>
  <c r="J82" i="1"/>
  <c r="J88" i="1"/>
  <c r="J89" i="1"/>
  <c r="I88" i="1"/>
  <c r="I89" i="1"/>
  <c r="H88" i="1"/>
  <c r="H89" i="1"/>
  <c r="K82" i="1" l="1"/>
  <c r="K88" i="1"/>
  <c r="K89" i="1"/>
  <c r="L82" i="1"/>
  <c r="L88" i="1"/>
  <c r="L89" i="1"/>
  <c r="G94" i="1"/>
  <c r="G109" i="1"/>
  <c r="E20" i="1"/>
  <c r="G100" i="1"/>
  <c r="I91" i="1"/>
  <c r="I93" i="1" s="1"/>
  <c r="J91" i="1"/>
  <c r="J93" i="1" s="1"/>
  <c r="H91" i="1"/>
  <c r="H93" i="1" s="1"/>
  <c r="B2" i="1"/>
  <c r="K91" i="1" l="1"/>
  <c r="K93" i="1" s="1"/>
  <c r="K109" i="1" s="1"/>
  <c r="L91" i="1"/>
  <c r="L93" i="1" s="1"/>
  <c r="K20" i="1" s="1"/>
  <c r="K21" i="1" s="1"/>
  <c r="J109" i="1"/>
  <c r="H109" i="1"/>
  <c r="I109" i="1"/>
  <c r="J94" i="1"/>
  <c r="J99" i="1"/>
  <c r="J124" i="1" s="1"/>
  <c r="J126" i="1" s="1"/>
  <c r="K94" i="1"/>
  <c r="K99" i="1"/>
  <c r="K124" i="1" s="1"/>
  <c r="H94" i="1"/>
  <c r="H99" i="1"/>
  <c r="H124" i="1" s="1"/>
  <c r="H126" i="1" s="1"/>
  <c r="I94" i="1"/>
  <c r="I99" i="1"/>
  <c r="I124" i="1" s="1"/>
  <c r="I126" i="1" s="1"/>
  <c r="J16" i="1"/>
  <c r="L94" i="1" l="1"/>
  <c r="K22" i="1"/>
  <c r="K121" i="1"/>
  <c r="K135" i="1" s="1"/>
  <c r="L99" i="1"/>
  <c r="L100" i="1" s="1"/>
  <c r="I100" i="1"/>
  <c r="K100" i="1"/>
  <c r="H100" i="1"/>
  <c r="J100" i="1"/>
  <c r="D118" i="1"/>
  <c r="G117" i="1"/>
  <c r="F117" i="1"/>
  <c r="L70" i="1"/>
  <c r="L71" i="1"/>
  <c r="D71" i="1"/>
  <c r="G70" i="1"/>
  <c r="F70" i="1"/>
  <c r="G35" i="1"/>
  <c r="F42" i="1"/>
  <c r="D42" i="1"/>
  <c r="D16" i="1"/>
  <c r="J5" i="1"/>
  <c r="K123" i="1" l="1"/>
  <c r="K137" i="1" s="1"/>
  <c r="F71" i="1"/>
  <c r="F68" i="1" s="1"/>
  <c r="G42" i="1"/>
  <c r="F118" i="1"/>
  <c r="F130" i="1" l="1"/>
  <c r="F132" i="1" s="1"/>
  <c r="K126" i="1"/>
  <c r="F128" i="1" s="1"/>
  <c r="H42" i="1"/>
  <c r="G118" i="1"/>
  <c r="G71" i="1"/>
  <c r="G68" i="1" l="1"/>
  <c r="H118" i="1"/>
  <c r="I42" i="1"/>
  <c r="H71" i="1"/>
  <c r="H68" i="1" s="1"/>
  <c r="H102" i="1" l="1"/>
  <c r="H103" i="1"/>
  <c r="G102" i="1"/>
  <c r="G103" i="1"/>
  <c r="G107" i="1" s="1"/>
  <c r="H107" i="1" s="1"/>
  <c r="I118" i="1"/>
  <c r="J42" i="1"/>
  <c r="I71" i="1"/>
  <c r="I68" i="1" s="1"/>
  <c r="I103" i="1" l="1"/>
  <c r="I107" i="1" s="1"/>
  <c r="I102" i="1"/>
  <c r="G111" i="1"/>
  <c r="G114" i="1"/>
  <c r="G115" i="1"/>
  <c r="G105" i="1"/>
  <c r="G138" i="1" s="1"/>
  <c r="G112" i="1"/>
  <c r="H111" i="1"/>
  <c r="H114" i="1"/>
  <c r="H115" i="1"/>
  <c r="H105" i="1"/>
  <c r="H138" i="1" s="1"/>
  <c r="H141" i="1" s="1"/>
  <c r="H112" i="1"/>
  <c r="K42" i="1"/>
  <c r="J118" i="1"/>
  <c r="J71" i="1"/>
  <c r="J68" i="1" s="1"/>
  <c r="G141" i="1" l="1"/>
  <c r="J103" i="1"/>
  <c r="J107" i="1" s="1"/>
  <c r="J102" i="1"/>
  <c r="I111" i="1"/>
  <c r="I114" i="1"/>
  <c r="I115" i="1"/>
  <c r="I112" i="1"/>
  <c r="I105" i="1"/>
  <c r="I138" i="1" s="1"/>
  <c r="I141" i="1" s="1"/>
  <c r="K118" i="1"/>
  <c r="K71" i="1"/>
  <c r="K18" i="1" s="1"/>
  <c r="J111" i="1" l="1"/>
  <c r="J114" i="1"/>
  <c r="J112" i="1"/>
  <c r="J115" i="1"/>
  <c r="J105" i="1"/>
  <c r="J138" i="1" s="1"/>
  <c r="J141" i="1" s="1"/>
  <c r="K68" i="1"/>
  <c r="L68" i="1"/>
  <c r="K103" i="1" l="1"/>
  <c r="K107" i="1" s="1"/>
  <c r="K139" i="1" s="1"/>
  <c r="K102" i="1"/>
  <c r="K111" i="1" l="1"/>
  <c r="K114" i="1"/>
  <c r="K112" i="1"/>
  <c r="K105" i="1"/>
  <c r="K138" i="1" s="1"/>
  <c r="K115" i="1"/>
  <c r="K141" i="1" l="1"/>
  <c r="F143" i="1" s="1"/>
  <c r="F145" i="1"/>
  <c r="F147" i="1" s="1"/>
</calcChain>
</file>

<file path=xl/sharedStrings.xml><?xml version="1.0" encoding="utf-8"?>
<sst xmlns="http://schemas.openxmlformats.org/spreadsheetml/2006/main" count="224" uniqueCount="137">
  <si>
    <t>Operating Assumptions:</t>
  </si>
  <si>
    <t>Units:</t>
  </si>
  <si>
    <t>Building / Construction Name:</t>
  </si>
  <si>
    <t>Location:</t>
  </si>
  <si>
    <t>Date</t>
  </si>
  <si>
    <t>#</t>
  </si>
  <si>
    <t>Months in Year:</t>
  </si>
  <si>
    <t>%</t>
  </si>
  <si>
    <t>Rentable Square Footage (RSF):</t>
  </si>
  <si>
    <t>sq. ft.</t>
  </si>
  <si>
    <t>Acquisition and Exit Assumptions:</t>
  </si>
  <si>
    <t>Acquisition Date:</t>
  </si>
  <si>
    <t>Acquisition Price:</t>
  </si>
  <si>
    <t>$</t>
  </si>
  <si>
    <t>Acquisition Costs (% Gross Acquisition Price):</t>
  </si>
  <si>
    <t>Acquisition Loan-to-Value (LTV) Ratio:</t>
  </si>
  <si>
    <t>Loan Interest Rate:</t>
  </si>
  <si>
    <t># Years</t>
  </si>
  <si>
    <t>Exit Date:</t>
  </si>
  <si>
    <t>Exit Price:</t>
  </si>
  <si>
    <t>Selling Costs (% Gross Sale Price):</t>
  </si>
  <si>
    <t>Historical:</t>
  </si>
  <si>
    <t>Projected:</t>
  </si>
  <si>
    <t>Operating Expense Growth Rate:</t>
  </si>
  <si>
    <t>Sources of Funds:</t>
  </si>
  <si>
    <t>Uses of 
Funds:</t>
  </si>
  <si>
    <t>Investor Equity:</t>
  </si>
  <si>
    <t>Senior Debt:</t>
  </si>
  <si>
    <t>Total Sources:</t>
  </si>
  <si>
    <t xml:space="preserve">Fiscal Year: </t>
  </si>
  <si>
    <t>Property Pro-Forma:</t>
  </si>
  <si>
    <t>Revenue:</t>
  </si>
  <si>
    <t>Effective Gross Income (EGI):</t>
  </si>
  <si>
    <t>Expenses:</t>
  </si>
  <si>
    <t>Total Expenses:</t>
  </si>
  <si>
    <t>Net Operating Income (NOI):</t>
  </si>
  <si>
    <t>NOI Margin:</t>
  </si>
  <si>
    <t>Adjusted Net Operating Income:</t>
  </si>
  <si>
    <t>Cash Flow to Equity Investors:</t>
  </si>
  <si>
    <t>x</t>
  </si>
  <si>
    <t>Name</t>
  </si>
  <si>
    <t>Total Uses:</t>
  </si>
  <si>
    <t>Stabilized</t>
  </si>
  <si>
    <t>Year:</t>
  </si>
  <si>
    <t>IRR Calculations:</t>
  </si>
  <si>
    <t>Invested Equity:</t>
  </si>
  <si>
    <t>Cash-on-Cash Multiple:</t>
  </si>
  <si>
    <t>Acquisition Price per Unit:</t>
  </si>
  <si>
    <t>$ / sq. ft.</t>
  </si>
  <si>
    <t>$ / Unit</t>
  </si>
  <si>
    <t>Implied Going-In Cap Rate:</t>
  </si>
  <si>
    <t>Exit Cap Rate:</t>
  </si>
  <si>
    <t>Exit Price per Unit:</t>
  </si>
  <si>
    <t>Adjusted NOI Margin:</t>
  </si>
  <si>
    <t>Year</t>
  </si>
  <si>
    <t>Loan Amortization Period:</t>
  </si>
  <si>
    <t>Loan Issuance Fees (% Senior Debt):</t>
  </si>
  <si>
    <t>Acquisition Costs:</t>
  </si>
  <si>
    <t>Loan Issuance Fees:</t>
  </si>
  <si>
    <t>Ending Debt Balance:</t>
  </si>
  <si>
    <t>Debt Service Coverage Ratio (DSCR) - NOI:</t>
  </si>
  <si>
    <t>Interest Coverage Ratio - NOI:</t>
  </si>
  <si>
    <t>Interest Coverage Ratio - Adjusted NOI:</t>
  </si>
  <si>
    <t>Project Cash Flows (Unleveraged IRR):</t>
  </si>
  <si>
    <t>Unleveraged Internal Rate of Return (IRR):</t>
  </si>
  <si>
    <t>Leveraged Internal Rate of Return (IRR):</t>
  </si>
  <si>
    <t>Total Project Cash Flows (Unleveraged IRR):</t>
  </si>
  <si>
    <t>Cash Flow to Equity Investors (Leveraged IRR):</t>
  </si>
  <si>
    <t>Total Cash Flows to Equity (Leveraged IRR):</t>
  </si>
  <si>
    <t>Loan Maturity:</t>
  </si>
  <si>
    <t>Total Returns:</t>
  </si>
  <si>
    <t>Total Returns to Equity:</t>
  </si>
  <si>
    <t>($ USD in $ as Stated, Unless Otherwise Noted)</t>
  </si>
  <si>
    <t>Total Initial Investment:</t>
  </si>
  <si>
    <t>Parking Spots:</t>
  </si>
  <si>
    <t>(-) Interest Expense on Debt:</t>
  </si>
  <si>
    <t>(-) Debt Principal Repayment:</t>
  </si>
  <si>
    <t>(-) Capital Expenditures:</t>
  </si>
  <si>
    <t>(+) Base Rental Income:</t>
  </si>
  <si>
    <t>Potential Gross Revenue:</t>
  </si>
  <si>
    <t>(-) General Vacancy:</t>
  </si>
  <si>
    <t>(+) Utility Reimbursements:</t>
  </si>
  <si>
    <t>(-) Bad Debt &amp; Concessions:</t>
  </si>
  <si>
    <t>(-) Loss to Lease:</t>
  </si>
  <si>
    <t>(-) Insurance:</t>
  </si>
  <si>
    <t>(+) Capital Costs Paid from Reserves:</t>
  </si>
  <si>
    <t>Arcadia Gardens</t>
  </si>
  <si>
    <t>Market Rent per RSF per Month:</t>
  </si>
  <si>
    <t>In-Place Rent per RSF per Month:</t>
  </si>
  <si>
    <t>Average Rentable Square Feet per Unit:</t>
  </si>
  <si>
    <t>Rentable to Gross Square Feet Ratio:</t>
  </si>
  <si>
    <t>Gross Square Footage (GSF):</t>
  </si>
  <si>
    <t>Acquisition Price per RSF:</t>
  </si>
  <si>
    <t>In-Place Rent Discount to Market Rent:</t>
  </si>
  <si>
    <t>Bad Debt &amp; Concessions % Effective Rent:</t>
  </si>
  <si>
    <t>General Vacancy:</t>
  </si>
  <si>
    <t>(+) Parking Income:</t>
  </si>
  <si>
    <t>(-) Property Taxes:</t>
  </si>
  <si>
    <t>(-) Utilities:</t>
  </si>
  <si>
    <t>(-) Property Management Fee:</t>
  </si>
  <si>
    <t>(-) Sales, Marketing &amp; Administrative:</t>
  </si>
  <si>
    <t>Parking Spots per Unit:</t>
  </si>
  <si>
    <t>Parking Fees per Spot per Month:</t>
  </si>
  <si>
    <t>Property Taxes % Property Value:</t>
  </si>
  <si>
    <t>Property Tax Growth Rate:</t>
  </si>
  <si>
    <t>Utilities per Unit per Month:</t>
  </si>
  <si>
    <t>Sales, Marketing &amp; Administrative % EGI:</t>
  </si>
  <si>
    <t>$ / Unit / Mo.</t>
  </si>
  <si>
    <t>$ / Spot / Mo.</t>
  </si>
  <si>
    <t>$ / RSF / Mo.</t>
  </si>
  <si>
    <t>Insurance per Gross Square Foot per Year:</t>
  </si>
  <si>
    <t>$ / GSF / Yr.</t>
  </si>
  <si>
    <t>Utility Reimbursements % Utility Expense:</t>
  </si>
  <si>
    <t>$ / Unit / Yr.</t>
  </si>
  <si>
    <t>Phoenix, AZ</t>
  </si>
  <si>
    <t>Property Management Fee % EGI:</t>
  </si>
  <si>
    <t>(-) Replacement Reserves:</t>
  </si>
  <si>
    <t>EGI Growth Rate:</t>
  </si>
  <si>
    <t>Capital Expenditures per Unit per Year:</t>
  </si>
  <si>
    <t>Debt Yield:</t>
  </si>
  <si>
    <t>Exit Price per RSF:</t>
  </si>
  <si>
    <t>(+) Proceeds from Sale of Property:</t>
  </si>
  <si>
    <t>(-) Selling Costs:</t>
  </si>
  <si>
    <t>(+) Adjusted NOI (Cash Flows to All Investors):</t>
  </si>
  <si>
    <t>(-) Property Acquisition Price:</t>
  </si>
  <si>
    <t>(+) Return of Replacement Reserve:</t>
  </si>
  <si>
    <t>(+) Cash Flows to Equity Investors:</t>
  </si>
  <si>
    <t>(-) Debt Principal Repayment Upon Exit:</t>
  </si>
  <si>
    <t>(-) Initial Equity Investment:</t>
  </si>
  <si>
    <t>Replacement Reserves:</t>
  </si>
  <si>
    <t>Debt Service Coverage Ratio (DSCR) - Adj. NOI:</t>
  </si>
  <si>
    <t>Property Assumptions:</t>
  </si>
  <si>
    <t>Sources and Uses of Funds:</t>
  </si>
  <si>
    <t>Number of Apartment Units:</t>
  </si>
  <si>
    <t>N/A</t>
  </si>
  <si>
    <t>Replacement Reserves per Unit per Year:</t>
  </si>
  <si>
    <t>Rental &amp; Parking Income Growth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</si>
</sst>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-_);@_)"/>
    <numFmt numFmtId="165" formatCode="yyyy\-mm\-dd"/>
    <numFmt numFmtId="166" formatCode="0.00%_);\(0.00%\);\-_);@_)"/>
    <numFmt numFmtId="167" formatCode="0.0%_);\(0.0%\);\-_);@_)"/>
    <numFmt numFmtId="168" formatCode="#,##0\ &quot;sq. ft.&quot;"/>
    <numFmt numFmtId="169" formatCode="&quot;FY&quot;yy"/>
    <numFmt numFmtId="170" formatCode="0.00\ \x_);\(0.00\ \x\);\-_);@_)"/>
  </numFmts>
  <fonts count="17" x14ac:knownFonts="1"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3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3" borderId="1" xfId="0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 indent="1"/>
    </xf>
    <xf numFmtId="42" fontId="8" fillId="3" borderId="1" xfId="0" applyNumberFormat="1" applyFont="1" applyFill="1" applyBorder="1" applyProtection="1">
      <protection locked="0"/>
    </xf>
    <xf numFmtId="0" fontId="9" fillId="0" borderId="0" xfId="0" applyFont="1"/>
    <xf numFmtId="165" fontId="8" fillId="3" borderId="1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166" fontId="8" fillId="3" borderId="1" xfId="0" applyNumberFormat="1" applyFont="1" applyFill="1" applyBorder="1" applyAlignment="1" applyProtection="1">
      <alignment horizontal="center"/>
      <protection locked="0"/>
    </xf>
    <xf numFmtId="1" fontId="8" fillId="3" borderId="1" xfId="0" applyNumberFormat="1" applyFont="1" applyFill="1" applyBorder="1" applyAlignment="1" applyProtection="1">
      <alignment horizontal="center"/>
      <protection locked="0"/>
    </xf>
    <xf numFmtId="164" fontId="8" fillId="3" borderId="1" xfId="0" applyNumberFormat="1" applyFont="1" applyFill="1" applyBorder="1" applyAlignment="1" applyProtection="1">
      <alignment horizontal="center"/>
      <protection locked="0"/>
    </xf>
    <xf numFmtId="167" fontId="8" fillId="3" borderId="1" xfId="0" applyNumberFormat="1" applyFont="1" applyFill="1" applyBorder="1" applyAlignment="1" applyProtection="1">
      <alignment horizontal="center"/>
      <protection locked="0"/>
    </xf>
    <xf numFmtId="168" fontId="9" fillId="0" borderId="0" xfId="0" applyNumberFormat="1" applyFont="1"/>
    <xf numFmtId="0" fontId="5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6" fillId="0" borderId="0" xfId="0" quotePrefix="1" applyFont="1" applyAlignment="1">
      <alignment horizontal="center"/>
    </xf>
    <xf numFmtId="166" fontId="5" fillId="0" borderId="0" xfId="0" quotePrefix="1" applyNumberFormat="1" applyFont="1" applyAlignment="1">
      <alignment horizontal="center"/>
    </xf>
    <xf numFmtId="42" fontId="9" fillId="0" borderId="0" xfId="0" applyNumberFormat="1" applyFont="1" applyProtection="1">
      <protection locked="0"/>
    </xf>
    <xf numFmtId="44" fontId="9" fillId="0" borderId="0" xfId="0" applyNumberFormat="1" applyFont="1" applyProtection="1">
      <protection locked="0"/>
    </xf>
    <xf numFmtId="0" fontId="4" fillId="5" borderId="2" xfId="0" applyFont="1" applyFill="1" applyBorder="1" applyAlignment="1">
      <alignment horizontal="centerContinuous"/>
    </xf>
    <xf numFmtId="166" fontId="8" fillId="3" borderId="12" xfId="0" applyNumberFormat="1" applyFont="1" applyFill="1" applyBorder="1" applyAlignment="1" applyProtection="1">
      <alignment horizontal="center"/>
      <protection locked="0"/>
    </xf>
    <xf numFmtId="0" fontId="6" fillId="0" borderId="0" xfId="0" quotePrefix="1" applyFont="1" applyAlignment="1">
      <alignment horizontal="left"/>
    </xf>
    <xf numFmtId="0" fontId="7" fillId="2" borderId="2" xfId="0" applyFont="1" applyFill="1" applyBorder="1" applyAlignment="1">
      <alignment horizontal="left"/>
    </xf>
    <xf numFmtId="164" fontId="5" fillId="0" borderId="0" xfId="0" applyNumberFormat="1" applyFont="1" applyAlignment="1">
      <alignment horizontal="left" indent="1"/>
    </xf>
    <xf numFmtId="42" fontId="5" fillId="0" borderId="0" xfId="0" applyNumberFormat="1" applyFont="1"/>
    <xf numFmtId="9" fontId="5" fillId="0" borderId="0" xfId="0" applyNumberFormat="1" applyFont="1"/>
    <xf numFmtId="164" fontId="5" fillId="0" borderId="0" xfId="0" applyNumberFormat="1" applyFont="1"/>
    <xf numFmtId="41" fontId="5" fillId="0" borderId="0" xfId="0" applyNumberFormat="1" applyFont="1"/>
    <xf numFmtId="164" fontId="4" fillId="0" borderId="7" xfId="0" applyNumberFormat="1" applyFont="1" applyBorder="1"/>
    <xf numFmtId="42" fontId="4" fillId="0" borderId="7" xfId="0" applyNumberFormat="1" applyFont="1" applyBorder="1"/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169" fontId="3" fillId="2" borderId="2" xfId="0" applyNumberFormat="1" applyFont="1" applyFill="1" applyBorder="1" applyAlignment="1">
      <alignment horizontal="center"/>
    </xf>
    <xf numFmtId="169" fontId="3" fillId="2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indent="1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169" fontId="3" fillId="2" borderId="8" xfId="0" applyNumberFormat="1" applyFont="1" applyFill="1" applyBorder="1" applyAlignment="1">
      <alignment horizontal="center"/>
    </xf>
    <xf numFmtId="164" fontId="5" fillId="0" borderId="7" xfId="0" applyNumberFormat="1" applyFont="1" applyBorder="1"/>
    <xf numFmtId="0" fontId="6" fillId="0" borderId="2" xfId="0" applyFont="1" applyBorder="1" applyAlignment="1">
      <alignment horizontal="center"/>
    </xf>
    <xf numFmtId="0" fontId="4" fillId="0" borderId="7" xfId="0" applyFont="1" applyBorder="1"/>
    <xf numFmtId="164" fontId="4" fillId="0" borderId="0" xfId="0" applyNumberFormat="1" applyFont="1"/>
    <xf numFmtId="0" fontId="6" fillId="0" borderId="0" xfId="0" applyFont="1" applyAlignment="1">
      <alignment horizontal="left" indent="1"/>
    </xf>
    <xf numFmtId="167" fontId="6" fillId="0" borderId="0" xfId="0" applyNumberFormat="1" applyFont="1"/>
    <xf numFmtId="0" fontId="11" fillId="0" borderId="0" xfId="0" applyFont="1" applyAlignment="1">
      <alignment horizontal="left" indent="1"/>
    </xf>
    <xf numFmtId="0" fontId="12" fillId="0" borderId="0" xfId="0" applyFont="1"/>
    <xf numFmtId="164" fontId="12" fillId="0" borderId="0" xfId="0" applyNumberFormat="1" applyFont="1"/>
    <xf numFmtId="0" fontId="4" fillId="0" borderId="0" xfId="0" applyFont="1" applyAlignment="1">
      <alignment horizontal="left"/>
    </xf>
    <xf numFmtId="0" fontId="11" fillId="0" borderId="0" xfId="0" applyFont="1"/>
    <xf numFmtId="170" fontId="6" fillId="0" borderId="0" xfId="0" applyNumberFormat="1" applyFont="1"/>
    <xf numFmtId="41" fontId="8" fillId="0" borderId="2" xfId="0" applyNumberFormat="1" applyFont="1" applyBorder="1" applyProtection="1">
      <protection locked="0"/>
    </xf>
    <xf numFmtId="41" fontId="8" fillId="0" borderId="0" xfId="0" applyNumberFormat="1" applyFont="1" applyProtection="1">
      <protection locked="0"/>
    </xf>
    <xf numFmtId="0" fontId="12" fillId="0" borderId="7" xfId="0" applyFont="1" applyBorder="1"/>
    <xf numFmtId="0" fontId="5" fillId="0" borderId="7" xfId="0" applyFont="1" applyBorder="1"/>
    <xf numFmtId="42" fontId="12" fillId="0" borderId="7" xfId="0" applyNumberFormat="1" applyFont="1" applyBorder="1"/>
    <xf numFmtId="0" fontId="12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center"/>
    </xf>
    <xf numFmtId="0" fontId="12" fillId="4" borderId="10" xfId="0" applyFont="1" applyFill="1" applyBorder="1"/>
    <xf numFmtId="166" fontId="4" fillId="4" borderId="11" xfId="0" applyNumberFormat="1" applyFont="1" applyFill="1" applyBorder="1" applyAlignment="1">
      <alignment horizontal="center"/>
    </xf>
    <xf numFmtId="8" fontId="5" fillId="0" borderId="0" xfId="0" applyNumberFormat="1" applyFont="1"/>
    <xf numFmtId="170" fontId="6" fillId="0" borderId="0" xfId="0" applyNumberFormat="1" applyFont="1" applyAlignment="1">
      <alignment horizontal="center"/>
    </xf>
    <xf numFmtId="166" fontId="8" fillId="0" borderId="0" xfId="0" applyNumberFormat="1" applyFont="1" applyAlignment="1" applyProtection="1">
      <alignment horizontal="center"/>
      <protection locked="0"/>
    </xf>
    <xf numFmtId="0" fontId="12" fillId="0" borderId="7" xfId="0" applyFont="1" applyBorder="1" applyAlignment="1">
      <alignment horizontal="left"/>
    </xf>
    <xf numFmtId="164" fontId="5" fillId="0" borderId="2" xfId="0" applyNumberFormat="1" applyFont="1" applyBorder="1"/>
    <xf numFmtId="41" fontId="5" fillId="0" borderId="2" xfId="0" applyNumberFormat="1" applyFont="1" applyBorder="1"/>
    <xf numFmtId="44" fontId="5" fillId="0" borderId="0" xfId="0" applyNumberFormat="1" applyFont="1"/>
    <xf numFmtId="44" fontId="14" fillId="0" borderId="0" xfId="0" applyNumberFormat="1" applyFont="1"/>
    <xf numFmtId="43" fontId="14" fillId="0" borderId="0" xfId="0" applyNumberFormat="1" applyFont="1"/>
    <xf numFmtId="168" fontId="9" fillId="3" borderId="1" xfId="0" applyNumberFormat="1" applyFont="1" applyFill="1" applyBorder="1" applyProtection="1">
      <protection locked="0"/>
    </xf>
    <xf numFmtId="168" fontId="8" fillId="3" borderId="1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44" fontId="15" fillId="0" borderId="0" xfId="0" applyNumberFormat="1" applyFont="1"/>
    <xf numFmtId="43" fontId="15" fillId="0" borderId="0" xfId="0" applyNumberFormat="1" applyFont="1"/>
    <xf numFmtId="167" fontId="5" fillId="0" borderId="0" xfId="0" quotePrefix="1" applyNumberFormat="1" applyFont="1" applyAlignment="1">
      <alignment horizontal="center"/>
    </xf>
    <xf numFmtId="164" fontId="9" fillId="3" borderId="1" xfId="0" applyNumberFormat="1" applyFont="1" applyFill="1" applyBorder="1" applyAlignment="1" applyProtection="1">
      <alignment horizontal="center"/>
      <protection locked="0"/>
    </xf>
    <xf numFmtId="41" fontId="12" fillId="0" borderId="0" xfId="0" applyNumberFormat="1" applyFont="1"/>
    <xf numFmtId="39" fontId="8" fillId="3" borderId="1" xfId="0" applyNumberFormat="1" applyFont="1" applyFill="1" applyBorder="1" applyAlignment="1" applyProtection="1">
      <alignment horizontal="center"/>
      <protection locked="0"/>
    </xf>
    <xf numFmtId="43" fontId="14" fillId="3" borderId="1" xfId="0" applyNumberFormat="1" applyFont="1" applyFill="1" applyBorder="1"/>
    <xf numFmtId="41" fontId="14" fillId="0" borderId="0" xfId="0" applyNumberFormat="1" applyFont="1"/>
    <xf numFmtId="164" fontId="14" fillId="0" borderId="0" xfId="0" applyNumberFormat="1" applyFont="1"/>
    <xf numFmtId="42" fontId="4" fillId="0" borderId="0" xfId="0" applyNumberFormat="1" applyFont="1"/>
    <xf numFmtId="165" fontId="9" fillId="3" borderId="1" xfId="0" applyNumberFormat="1" applyFont="1" applyFill="1" applyBorder="1" applyAlignment="1" applyProtection="1">
      <alignment horizontal="center"/>
      <protection locked="0"/>
    </xf>
    <xf numFmtId="167" fontId="16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  <color rgb="FFB2B2B2"/>
      <color rgb="FFFFFF99"/>
      <color rgb="FFBDD7EE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O147"/>
  <sheetViews>
    <sheetView showGridLines="0" tabSelected="1" zoomScaleNormal="100" zoomScaleSheetLayoutView="40" workbookViewId="0">
      <selection activeCell="B2" sqref="B2"/>
    </sheetView>
  </sheetViews>
  <sheetFormatPr defaultRowHeight="15.75" outlineLevelRow="1" x14ac:dyDescent="0.25"/>
  <cols>
    <col min="1" max="2" width="2.7109375" style="3" customWidth="1"/>
    <col min="3" max="3" width="45.7109375" style="3" customWidth="1"/>
    <col min="4" max="4" width="14.42578125" style="3" customWidth="1"/>
    <col min="5" max="5" width="16.42578125" style="3" bestFit="1" customWidth="1"/>
    <col min="6" max="10" width="14.42578125" style="3" customWidth="1"/>
    <col min="11" max="11" width="15.140625" style="3" bestFit="1" customWidth="1"/>
    <col min="12" max="12" width="14.42578125" style="3" customWidth="1"/>
    <col min="13" max="13" width="2.7109375" style="3" customWidth="1"/>
    <col min="14" max="16384" width="9.140625" style="3"/>
  </cols>
  <sheetData>
    <row r="2" spans="2:12" ht="18.75" x14ac:dyDescent="0.3">
      <c r="B2" s="1" t="str">
        <f>Property_Name&amp;" - Investment Analysis Model"</f>
        <v>Arcadia Gardens - Investment Analysis Model</v>
      </c>
      <c r="D2" s="4"/>
    </row>
    <row r="3" spans="2:12" x14ac:dyDescent="0.25">
      <c r="B3" s="3" t="s">
        <v>72</v>
      </c>
      <c r="D3" s="4"/>
    </row>
    <row r="4" spans="2:12" x14ac:dyDescent="0.25">
      <c r="D4" s="4"/>
    </row>
    <row r="5" spans="2:12" x14ac:dyDescent="0.25">
      <c r="B5" s="5" t="s">
        <v>131</v>
      </c>
      <c r="C5" s="6"/>
      <c r="D5" s="6" t="s">
        <v>1</v>
      </c>
      <c r="E5" s="5"/>
      <c r="F5" s="5"/>
      <c r="G5" s="5"/>
      <c r="H5" s="5"/>
      <c r="I5" s="5"/>
      <c r="J5" s="6" t="str">
        <f>+$D$5</f>
        <v>Units:</v>
      </c>
      <c r="K5" s="5"/>
      <c r="L5" s="5"/>
    </row>
    <row r="6" spans="2:12" outlineLevel="1" x14ac:dyDescent="0.25">
      <c r="D6" s="4"/>
    </row>
    <row r="7" spans="2:12" outlineLevel="1" x14ac:dyDescent="0.25">
      <c r="C7" s="3" t="s">
        <v>2</v>
      </c>
      <c r="D7" s="7" t="s">
        <v>40</v>
      </c>
      <c r="E7" s="8" t="s">
        <v>86</v>
      </c>
      <c r="G7" s="19" t="s">
        <v>103</v>
      </c>
      <c r="J7" s="7" t="s">
        <v>7</v>
      </c>
      <c r="K7" s="14">
        <v>6.7999999999999996E-3</v>
      </c>
    </row>
    <row r="8" spans="2:12" outlineLevel="1" x14ac:dyDescent="0.25">
      <c r="C8" s="3" t="s">
        <v>3</v>
      </c>
      <c r="D8" s="7" t="s">
        <v>40</v>
      </c>
      <c r="E8" s="8" t="s">
        <v>114</v>
      </c>
      <c r="G8" s="19" t="s">
        <v>115</v>
      </c>
      <c r="J8" s="7" t="s">
        <v>7</v>
      </c>
      <c r="K8" s="14">
        <v>3.0000000000000006E-2</v>
      </c>
    </row>
    <row r="9" spans="2:12" outlineLevel="1" x14ac:dyDescent="0.25">
      <c r="B9" s="11"/>
      <c r="C9" s="3" t="s">
        <v>6</v>
      </c>
      <c r="D9" s="7" t="s">
        <v>5</v>
      </c>
      <c r="E9" s="15">
        <v>12</v>
      </c>
      <c r="F9" s="11"/>
      <c r="G9" s="19"/>
      <c r="J9" s="7"/>
      <c r="K9" s="74"/>
    </row>
    <row r="10" spans="2:12" outlineLevel="1" x14ac:dyDescent="0.25">
      <c r="B10" s="11"/>
      <c r="F10" s="11"/>
      <c r="G10" s="19" t="s">
        <v>8</v>
      </c>
      <c r="J10" s="7" t="s">
        <v>9</v>
      </c>
      <c r="K10" s="81">
        <f>+Apt_Units*RSF_per_Unit</f>
        <v>43548</v>
      </c>
    </row>
    <row r="11" spans="2:12" outlineLevel="1" x14ac:dyDescent="0.25">
      <c r="C11" s="3" t="s">
        <v>133</v>
      </c>
      <c r="D11" s="7" t="s">
        <v>5</v>
      </c>
      <c r="E11" s="16">
        <v>76</v>
      </c>
      <c r="G11" s="19" t="s">
        <v>90</v>
      </c>
      <c r="J11" s="21" t="s">
        <v>7</v>
      </c>
      <c r="K11" s="17">
        <v>0.8</v>
      </c>
    </row>
    <row r="12" spans="2:12" outlineLevel="1" x14ac:dyDescent="0.25">
      <c r="C12" s="3" t="s">
        <v>89</v>
      </c>
      <c r="D12" s="7" t="s">
        <v>9</v>
      </c>
      <c r="E12" s="82">
        <v>573</v>
      </c>
      <c r="G12" s="19" t="s">
        <v>91</v>
      </c>
      <c r="J12" s="7" t="s">
        <v>9</v>
      </c>
      <c r="K12" s="18">
        <f>+Rentable_SF/K11</f>
        <v>54435</v>
      </c>
    </row>
    <row r="13" spans="2:12" outlineLevel="1" x14ac:dyDescent="0.25">
      <c r="B13" s="11"/>
      <c r="C13" s="3" t="s">
        <v>101</v>
      </c>
      <c r="D13" s="7" t="s">
        <v>5</v>
      </c>
      <c r="E13" s="89">
        <v>1.1299999999999999</v>
      </c>
      <c r="F13" s="11"/>
    </row>
    <row r="14" spans="2:12" outlineLevel="1" x14ac:dyDescent="0.25">
      <c r="C14" s="3" t="s">
        <v>74</v>
      </c>
      <c r="D14" s="7" t="s">
        <v>5</v>
      </c>
      <c r="E14" s="87">
        <f>+Apt_Units*E13</f>
        <v>85.88</v>
      </c>
    </row>
    <row r="15" spans="2:12" x14ac:dyDescent="0.25">
      <c r="B15" s="11"/>
      <c r="C15" s="11"/>
      <c r="D15" s="13"/>
      <c r="E15" s="11"/>
      <c r="F15" s="11"/>
      <c r="G15" s="11"/>
      <c r="H15" s="11"/>
      <c r="I15" s="11"/>
      <c r="J15" s="11"/>
      <c r="K15" s="20"/>
    </row>
    <row r="16" spans="2:12" x14ac:dyDescent="0.25">
      <c r="B16" s="5" t="s">
        <v>10</v>
      </c>
      <c r="C16" s="5"/>
      <c r="D16" s="6" t="str">
        <f>+$D$5</f>
        <v>Units:</v>
      </c>
      <c r="E16" s="5"/>
      <c r="F16" s="5"/>
      <c r="G16" s="5"/>
      <c r="H16" s="5"/>
      <c r="I16" s="5"/>
      <c r="J16" s="6" t="str">
        <f>+$D$5</f>
        <v>Units:</v>
      </c>
      <c r="K16" s="5"/>
      <c r="L16" s="5"/>
    </row>
    <row r="17" spans="2:12" outlineLevel="1" x14ac:dyDescent="0.25">
      <c r="D17" s="4"/>
    </row>
    <row r="18" spans="2:12" outlineLevel="1" x14ac:dyDescent="0.25">
      <c r="C18" s="3" t="s">
        <v>11</v>
      </c>
      <c r="D18" s="7" t="s">
        <v>4</v>
      </c>
      <c r="E18" s="12">
        <v>43100</v>
      </c>
      <c r="G18" s="19" t="s">
        <v>18</v>
      </c>
      <c r="J18" s="7" t="s">
        <v>4</v>
      </c>
      <c r="K18" s="94">
        <f>K71</f>
        <v>44926</v>
      </c>
    </row>
    <row r="19" spans="2:12" outlineLevel="1" x14ac:dyDescent="0.25">
      <c r="C19" s="3" t="s">
        <v>12</v>
      </c>
      <c r="D19" s="21" t="s">
        <v>13</v>
      </c>
      <c r="E19" s="10">
        <v>9775000</v>
      </c>
      <c r="G19" s="19" t="s">
        <v>51</v>
      </c>
      <c r="J19" s="21" t="s">
        <v>7</v>
      </c>
      <c r="K19" s="26">
        <v>0.06</v>
      </c>
    </row>
    <row r="20" spans="2:12" outlineLevel="1" x14ac:dyDescent="0.25">
      <c r="C20" s="3" t="s">
        <v>50</v>
      </c>
      <c r="D20" s="21" t="s">
        <v>7</v>
      </c>
      <c r="E20" s="22">
        <f>+G93/Entry_Price</f>
        <v>5.8003018614596107E-2</v>
      </c>
      <c r="G20" s="19" t="s">
        <v>19</v>
      </c>
      <c r="J20" s="21" t="s">
        <v>13</v>
      </c>
      <c r="K20" s="23">
        <f>+L93/Exit_Cap_Rate</f>
        <v>12002241.915567398</v>
      </c>
    </row>
    <row r="21" spans="2:12" outlineLevel="1" x14ac:dyDescent="0.25">
      <c r="C21" s="3" t="s">
        <v>47</v>
      </c>
      <c r="D21" s="7" t="s">
        <v>49</v>
      </c>
      <c r="E21" s="23">
        <f>+Entry_Price/Apt_Units</f>
        <v>128618.42105263157</v>
      </c>
      <c r="G21" s="3" t="s">
        <v>52</v>
      </c>
      <c r="J21" s="7" t="s">
        <v>49</v>
      </c>
      <c r="K21" s="23">
        <f>+Exit_Price/Apt_Units</f>
        <v>157924.23573114997</v>
      </c>
    </row>
    <row r="22" spans="2:12" outlineLevel="1" x14ac:dyDescent="0.25">
      <c r="C22" s="3" t="s">
        <v>92</v>
      </c>
      <c r="D22" s="7" t="s">
        <v>48</v>
      </c>
      <c r="E22" s="24">
        <f>+Entry_Price/Rentable_SF</f>
        <v>224.46495820703592</v>
      </c>
      <c r="G22" s="3" t="s">
        <v>120</v>
      </c>
      <c r="J22" s="7" t="s">
        <v>48</v>
      </c>
      <c r="K22" s="24">
        <f>+Exit_Price/Rentable_SF</f>
        <v>275.60948644179751</v>
      </c>
    </row>
    <row r="23" spans="2:12" outlineLevel="1" x14ac:dyDescent="0.25"/>
    <row r="24" spans="2:12" outlineLevel="1" x14ac:dyDescent="0.25">
      <c r="C24" s="3" t="s">
        <v>14</v>
      </c>
      <c r="D24" s="7" t="s">
        <v>7</v>
      </c>
      <c r="E24" s="17">
        <v>0.01</v>
      </c>
      <c r="G24" s="3" t="s">
        <v>20</v>
      </c>
      <c r="J24" s="7" t="s">
        <v>7</v>
      </c>
      <c r="K24" s="17">
        <v>0.02</v>
      </c>
    </row>
    <row r="25" spans="2:12" outlineLevel="1" x14ac:dyDescent="0.25">
      <c r="C25" s="3" t="s">
        <v>56</v>
      </c>
      <c r="D25" s="7" t="s">
        <v>7</v>
      </c>
      <c r="E25" s="17">
        <v>0.01</v>
      </c>
      <c r="G25" s="9"/>
      <c r="J25" s="21"/>
      <c r="K25" s="74"/>
    </row>
    <row r="26" spans="2:12" outlineLevel="1" x14ac:dyDescent="0.25">
      <c r="G26" s="9"/>
      <c r="J26" s="21"/>
      <c r="K26" s="74"/>
    </row>
    <row r="27" spans="2:12" outlineLevel="1" x14ac:dyDescent="0.25">
      <c r="C27" s="3" t="s">
        <v>15</v>
      </c>
      <c r="D27" s="21" t="s">
        <v>7</v>
      </c>
      <c r="E27" s="17">
        <v>0.65</v>
      </c>
      <c r="G27" s="9"/>
      <c r="J27" s="21"/>
      <c r="K27" s="74"/>
    </row>
    <row r="28" spans="2:12" outlineLevel="1" x14ac:dyDescent="0.25">
      <c r="C28" s="3" t="s">
        <v>16</v>
      </c>
      <c r="D28" s="21" t="s">
        <v>7</v>
      </c>
      <c r="E28" s="17">
        <v>0.05</v>
      </c>
    </row>
    <row r="29" spans="2:12" outlineLevel="1" x14ac:dyDescent="0.25">
      <c r="C29" s="3" t="s">
        <v>55</v>
      </c>
      <c r="D29" s="21" t="s">
        <v>17</v>
      </c>
      <c r="E29" s="16">
        <v>30</v>
      </c>
    </row>
    <row r="30" spans="2:12" outlineLevel="1" x14ac:dyDescent="0.25">
      <c r="C30" s="3" t="s">
        <v>69</v>
      </c>
      <c r="D30" s="21" t="s">
        <v>17</v>
      </c>
      <c r="E30" s="16">
        <v>5</v>
      </c>
    </row>
    <row r="31" spans="2:12" x14ac:dyDescent="0.25">
      <c r="D31" s="27"/>
      <c r="E31" s="27"/>
      <c r="G31" s="9"/>
    </row>
    <row r="32" spans="2:12" x14ac:dyDescent="0.25">
      <c r="B32" s="5" t="s">
        <v>132</v>
      </c>
      <c r="C32" s="28"/>
      <c r="D32" s="6"/>
      <c r="E32" s="5"/>
      <c r="F32" s="5"/>
      <c r="G32" s="5"/>
      <c r="H32" s="5"/>
      <c r="I32" s="5"/>
      <c r="J32" s="6"/>
      <c r="K32" s="5"/>
      <c r="L32" s="5"/>
    </row>
    <row r="33" spans="2:15" outlineLevel="1" x14ac:dyDescent="0.25">
      <c r="C33" s="9"/>
      <c r="D33" s="4"/>
    </row>
    <row r="34" spans="2:15" outlineLevel="1" x14ac:dyDescent="0.25">
      <c r="C34" s="25" t="s">
        <v>24</v>
      </c>
      <c r="D34" s="25"/>
      <c r="E34" s="25"/>
      <c r="G34" s="25" t="s">
        <v>25</v>
      </c>
      <c r="H34" s="25"/>
      <c r="I34" s="25"/>
      <c r="J34" s="25"/>
      <c r="K34" s="25"/>
    </row>
    <row r="35" spans="2:15" outlineLevel="1" x14ac:dyDescent="0.25">
      <c r="C35" s="29" t="s">
        <v>27</v>
      </c>
      <c r="D35" s="7"/>
      <c r="E35" s="30">
        <f>+Entry_Price*LTV</f>
        <v>6353750</v>
      </c>
      <c r="F35" s="31"/>
      <c r="G35" s="29" t="str">
        <f>C19</f>
        <v>Acquisition Price:</v>
      </c>
      <c r="H35" s="32"/>
      <c r="I35" s="32"/>
      <c r="J35" s="7"/>
      <c r="K35" s="30">
        <f>+Entry_Price</f>
        <v>9775000</v>
      </c>
    </row>
    <row r="36" spans="2:15" outlineLevel="1" x14ac:dyDescent="0.25">
      <c r="C36" s="29" t="s">
        <v>26</v>
      </c>
      <c r="D36" s="52"/>
      <c r="E36" s="33">
        <f>+K39-E35</f>
        <v>3601537.5</v>
      </c>
      <c r="G36" s="29" t="s">
        <v>57</v>
      </c>
      <c r="H36" s="32"/>
      <c r="I36" s="32"/>
      <c r="J36" s="7"/>
      <c r="K36" s="32">
        <f>+Entry_Price*Entry_Fee_Pct</f>
        <v>97750</v>
      </c>
      <c r="O36" s="31"/>
    </row>
    <row r="37" spans="2:15" outlineLevel="1" x14ac:dyDescent="0.25">
      <c r="C37" s="34" t="s">
        <v>28</v>
      </c>
      <c r="D37" s="7"/>
      <c r="E37" s="35">
        <f>SUM(E35:E36)</f>
        <v>9955287.5</v>
      </c>
      <c r="G37" s="29" t="s">
        <v>58</v>
      </c>
      <c r="J37" s="7"/>
      <c r="K37" s="32">
        <f>+Entry_Price*LTV*Loan_Fees</f>
        <v>63537.5</v>
      </c>
    </row>
    <row r="38" spans="2:15" outlineLevel="1" x14ac:dyDescent="0.25">
      <c r="C38" s="54"/>
      <c r="D38" s="54"/>
      <c r="E38" s="93"/>
      <c r="G38" s="29" t="s">
        <v>129</v>
      </c>
      <c r="J38" s="52"/>
      <c r="K38" s="32">
        <f>+F59*Apt_Units</f>
        <v>19000</v>
      </c>
    </row>
    <row r="39" spans="2:15" outlineLevel="1" x14ac:dyDescent="0.25">
      <c r="C39" s="29"/>
      <c r="E39" s="30"/>
      <c r="G39" s="34" t="s">
        <v>41</v>
      </c>
      <c r="H39" s="34"/>
      <c r="I39" s="34"/>
      <c r="J39" s="7"/>
      <c r="K39" s="35">
        <f>SUM(K35:K38)</f>
        <v>9955287.5</v>
      </c>
    </row>
    <row r="40" spans="2:15" x14ac:dyDescent="0.25">
      <c r="D40" s="27"/>
      <c r="E40" s="27"/>
      <c r="G40" s="9"/>
    </row>
    <row r="41" spans="2:15" x14ac:dyDescent="0.25">
      <c r="B41" s="36"/>
      <c r="C41" s="36"/>
      <c r="D41" s="37"/>
      <c r="E41" s="36"/>
      <c r="F41" s="38" t="s">
        <v>21</v>
      </c>
      <c r="G41" s="39" t="s">
        <v>22</v>
      </c>
      <c r="H41" s="40"/>
      <c r="I41" s="40"/>
      <c r="J41" s="40"/>
      <c r="K41" s="40"/>
      <c r="L41" s="41" t="s">
        <v>42</v>
      </c>
    </row>
    <row r="42" spans="2:15" x14ac:dyDescent="0.25">
      <c r="B42" s="5" t="s">
        <v>0</v>
      </c>
      <c r="C42" s="5"/>
      <c r="D42" s="6" t="str">
        <f>+$D$5</f>
        <v>Units:</v>
      </c>
      <c r="E42" s="5"/>
      <c r="F42" s="42">
        <f>Start_Date</f>
        <v>43100</v>
      </c>
      <c r="G42" s="43">
        <f t="shared" ref="G42:K42" si="0">EOMONTH(F42,Months)</f>
        <v>43465</v>
      </c>
      <c r="H42" s="42">
        <f t="shared" si="0"/>
        <v>43830</v>
      </c>
      <c r="I42" s="42">
        <f t="shared" si="0"/>
        <v>44196</v>
      </c>
      <c r="J42" s="42">
        <f t="shared" si="0"/>
        <v>44561</v>
      </c>
      <c r="K42" s="42">
        <f t="shared" si="0"/>
        <v>44926</v>
      </c>
      <c r="L42" s="42" t="s">
        <v>43</v>
      </c>
    </row>
    <row r="43" spans="2:15" outlineLevel="1" x14ac:dyDescent="0.25">
      <c r="D43" s="4"/>
    </row>
    <row r="44" spans="2:15" outlineLevel="1" x14ac:dyDescent="0.25">
      <c r="C44" s="9" t="s">
        <v>87</v>
      </c>
      <c r="D44" s="7" t="s">
        <v>109</v>
      </c>
      <c r="F44" s="79">
        <v>1.7777777777777779</v>
      </c>
      <c r="G44" s="84">
        <f>+F44*(1+G$47)</f>
        <v>1.84</v>
      </c>
      <c r="H44" s="84">
        <f t="shared" ref="H44:L44" si="1">+G44*(1+H$47)</f>
        <v>1.9043999999999999</v>
      </c>
      <c r="I44" s="84">
        <f t="shared" si="1"/>
        <v>1.9710539999999996</v>
      </c>
      <c r="J44" s="84">
        <f t="shared" si="1"/>
        <v>2.0301856199999997</v>
      </c>
      <c r="K44" s="84">
        <f t="shared" si="1"/>
        <v>2.0910911885999997</v>
      </c>
      <c r="L44" s="84">
        <f t="shared" si="1"/>
        <v>2.1538239242579995</v>
      </c>
    </row>
    <row r="45" spans="2:15" outlineLevel="1" x14ac:dyDescent="0.25">
      <c r="C45" s="9" t="s">
        <v>88</v>
      </c>
      <c r="D45" s="7" t="s">
        <v>109</v>
      </c>
      <c r="F45" s="80">
        <v>1.6</v>
      </c>
      <c r="G45" s="85">
        <f>+G44*(1-G48)</f>
        <v>1.7020000000000002</v>
      </c>
      <c r="H45" s="85">
        <f t="shared" ref="H45:L45" si="2">+H44*(1-H48)</f>
        <v>1.8091799999999998</v>
      </c>
      <c r="I45" s="85">
        <f t="shared" si="2"/>
        <v>1.9217776499999997</v>
      </c>
      <c r="J45" s="85">
        <f t="shared" si="2"/>
        <v>2.0098837637999996</v>
      </c>
      <c r="K45" s="85">
        <f t="shared" si="2"/>
        <v>2.0701802767139998</v>
      </c>
      <c r="L45" s="85">
        <f t="shared" si="2"/>
        <v>2.1322856850154195</v>
      </c>
    </row>
    <row r="46" spans="2:15" outlineLevel="1" x14ac:dyDescent="0.25">
      <c r="D46" s="4"/>
      <c r="F46" s="78"/>
    </row>
    <row r="47" spans="2:15" outlineLevel="1" x14ac:dyDescent="0.25">
      <c r="C47" s="9" t="s">
        <v>136</v>
      </c>
      <c r="D47" s="7" t="s">
        <v>7</v>
      </c>
      <c r="G47" s="17">
        <v>3.5000000000000003E-2</v>
      </c>
      <c r="H47" s="17">
        <v>3.5000000000000003E-2</v>
      </c>
      <c r="I47" s="17">
        <v>3.5000000000000003E-2</v>
      </c>
      <c r="J47" s="17">
        <v>0.03</v>
      </c>
      <c r="K47" s="17">
        <v>0.03</v>
      </c>
      <c r="L47" s="17">
        <v>0.03</v>
      </c>
    </row>
    <row r="48" spans="2:15" outlineLevel="1" x14ac:dyDescent="0.25">
      <c r="C48" s="9" t="s">
        <v>93</v>
      </c>
      <c r="D48" s="7" t="s">
        <v>7</v>
      </c>
      <c r="F48" s="86">
        <f>1-F45/F44</f>
        <v>9.9999999999999978E-2</v>
      </c>
      <c r="G48" s="17">
        <v>7.4999999999999997E-2</v>
      </c>
      <c r="H48" s="17">
        <v>0.05</v>
      </c>
      <c r="I48" s="17">
        <v>2.5000000000000001E-2</v>
      </c>
      <c r="J48" s="17">
        <v>0.01</v>
      </c>
      <c r="K48" s="17">
        <v>0.01</v>
      </c>
      <c r="L48" s="17">
        <v>0.01</v>
      </c>
    </row>
    <row r="49" spans="3:12" outlineLevel="1" x14ac:dyDescent="0.25">
      <c r="C49" s="9"/>
      <c r="D49" s="7"/>
      <c r="G49" s="83"/>
      <c r="H49" s="83"/>
      <c r="I49" s="83"/>
      <c r="J49" s="83"/>
      <c r="K49" s="83"/>
      <c r="L49" s="83"/>
    </row>
    <row r="50" spans="3:12" outlineLevel="1" x14ac:dyDescent="0.25">
      <c r="C50" s="9" t="s">
        <v>94</v>
      </c>
      <c r="D50" s="7" t="s">
        <v>7</v>
      </c>
      <c r="F50" s="17">
        <v>-0.03</v>
      </c>
      <c r="G50" s="17">
        <v>-0.03</v>
      </c>
      <c r="H50" s="17">
        <v>-0.02</v>
      </c>
      <c r="I50" s="17">
        <v>-0.02</v>
      </c>
      <c r="J50" s="17">
        <v>-0.01</v>
      </c>
      <c r="K50" s="17">
        <v>-0.01</v>
      </c>
      <c r="L50" s="17">
        <v>-0.01</v>
      </c>
    </row>
    <row r="51" spans="3:12" outlineLevel="1" x14ac:dyDescent="0.25">
      <c r="C51" s="9"/>
      <c r="D51" s="7"/>
      <c r="G51" s="83"/>
      <c r="H51" s="83"/>
      <c r="I51" s="83"/>
      <c r="J51" s="83"/>
      <c r="K51" s="83"/>
      <c r="L51" s="83"/>
    </row>
    <row r="52" spans="3:12" outlineLevel="1" x14ac:dyDescent="0.25">
      <c r="C52" s="9" t="s">
        <v>102</v>
      </c>
      <c r="D52" s="7" t="s">
        <v>108</v>
      </c>
      <c r="F52" s="80">
        <v>50</v>
      </c>
      <c r="G52" s="85">
        <f>+F52*(1+G$47)</f>
        <v>51.749999999999993</v>
      </c>
      <c r="H52" s="85">
        <f t="shared" ref="H52:L52" si="3">+G52*(1+H$47)</f>
        <v>53.561249999999987</v>
      </c>
      <c r="I52" s="85">
        <f t="shared" si="3"/>
        <v>55.435893749999984</v>
      </c>
      <c r="J52" s="85">
        <f t="shared" si="3"/>
        <v>57.098970562499986</v>
      </c>
      <c r="K52" s="85">
        <f t="shared" si="3"/>
        <v>58.811939679374987</v>
      </c>
      <c r="L52" s="85">
        <f t="shared" si="3"/>
        <v>60.576297869756239</v>
      </c>
    </row>
    <row r="53" spans="3:12" outlineLevel="1" x14ac:dyDescent="0.25">
      <c r="C53" s="9" t="s">
        <v>112</v>
      </c>
      <c r="D53" s="7" t="s">
        <v>7</v>
      </c>
      <c r="F53" s="17">
        <v>0.8</v>
      </c>
      <c r="G53" s="17">
        <v>0.83</v>
      </c>
      <c r="H53" s="17">
        <v>0.86</v>
      </c>
      <c r="I53" s="17">
        <v>0.89</v>
      </c>
      <c r="J53" s="17">
        <v>0.92</v>
      </c>
      <c r="K53" s="17">
        <v>0.95</v>
      </c>
      <c r="L53" s="17">
        <v>0.95</v>
      </c>
    </row>
    <row r="54" spans="3:12" outlineLevel="1" x14ac:dyDescent="0.25">
      <c r="C54" s="9" t="s">
        <v>95</v>
      </c>
      <c r="D54" s="7" t="s">
        <v>7</v>
      </c>
      <c r="F54" s="17">
        <v>0</v>
      </c>
      <c r="G54" s="17">
        <v>-0.01</v>
      </c>
      <c r="H54" s="17">
        <v>-0.02</v>
      </c>
      <c r="I54" s="17">
        <v>-0.03</v>
      </c>
      <c r="J54" s="17">
        <v>-0.03</v>
      </c>
      <c r="K54" s="17">
        <v>-0.03</v>
      </c>
      <c r="L54" s="17">
        <v>-0.03</v>
      </c>
    </row>
    <row r="55" spans="3:12" outlineLevel="1" x14ac:dyDescent="0.25">
      <c r="C55" s="9"/>
      <c r="D55" s="7"/>
      <c r="G55" s="83"/>
      <c r="H55" s="83"/>
      <c r="I55" s="83"/>
      <c r="J55" s="83"/>
      <c r="K55" s="83"/>
      <c r="L55" s="83"/>
    </row>
    <row r="56" spans="3:12" outlineLevel="1" x14ac:dyDescent="0.25">
      <c r="C56" s="9" t="s">
        <v>110</v>
      </c>
      <c r="D56" s="7" t="s">
        <v>111</v>
      </c>
      <c r="F56" s="80">
        <v>0.4</v>
      </c>
      <c r="G56" s="85">
        <f t="shared" ref="G56:L57" si="4">+F56*(1+G$62)</f>
        <v>0.41200000000000003</v>
      </c>
      <c r="H56" s="85">
        <f t="shared" si="4"/>
        <v>0.42436000000000007</v>
      </c>
      <c r="I56" s="85">
        <f t="shared" si="4"/>
        <v>0.43709080000000006</v>
      </c>
      <c r="J56" s="85">
        <f t="shared" si="4"/>
        <v>0.45020352400000008</v>
      </c>
      <c r="K56" s="85">
        <f t="shared" si="4"/>
        <v>0.46370962972000007</v>
      </c>
      <c r="L56" s="85">
        <f t="shared" si="4"/>
        <v>0.47762091861160011</v>
      </c>
    </row>
    <row r="57" spans="3:12" outlineLevel="1" x14ac:dyDescent="0.25">
      <c r="C57" s="9" t="s">
        <v>105</v>
      </c>
      <c r="D57" s="7" t="s">
        <v>107</v>
      </c>
      <c r="F57" s="80">
        <v>85</v>
      </c>
      <c r="G57" s="85">
        <f t="shared" si="4"/>
        <v>87.55</v>
      </c>
      <c r="H57" s="85">
        <f t="shared" si="4"/>
        <v>90.176500000000004</v>
      </c>
      <c r="I57" s="85">
        <f t="shared" si="4"/>
        <v>92.881795000000011</v>
      </c>
      <c r="J57" s="85">
        <f t="shared" si="4"/>
        <v>95.668248850000012</v>
      </c>
      <c r="K57" s="85">
        <f t="shared" si="4"/>
        <v>98.53829631550002</v>
      </c>
      <c r="L57" s="85">
        <f t="shared" si="4"/>
        <v>101.49444520496502</v>
      </c>
    </row>
    <row r="58" spans="3:12" outlineLevel="1" x14ac:dyDescent="0.25">
      <c r="C58" s="9" t="s">
        <v>106</v>
      </c>
      <c r="D58" s="7" t="s">
        <v>7</v>
      </c>
      <c r="F58" s="17">
        <v>0.19</v>
      </c>
      <c r="G58" s="17">
        <v>0.192</v>
      </c>
      <c r="H58" s="17">
        <v>0.19400000000000001</v>
      </c>
      <c r="I58" s="17">
        <v>0.19600000000000001</v>
      </c>
      <c r="J58" s="17">
        <v>0.19800000000000001</v>
      </c>
      <c r="K58" s="17">
        <v>0.2</v>
      </c>
      <c r="L58" s="17">
        <v>0.2</v>
      </c>
    </row>
    <row r="59" spans="3:12" outlineLevel="1" x14ac:dyDescent="0.25">
      <c r="C59" s="9" t="s">
        <v>135</v>
      </c>
      <c r="D59" s="7" t="s">
        <v>113</v>
      </c>
      <c r="F59" s="80">
        <v>250</v>
      </c>
      <c r="G59" s="85">
        <f t="shared" ref="G59:L59" si="5">+F59*(1+G$62)</f>
        <v>257.5</v>
      </c>
      <c r="H59" s="85">
        <f t="shared" si="5"/>
        <v>265.22500000000002</v>
      </c>
      <c r="I59" s="85">
        <f t="shared" si="5"/>
        <v>273.18175000000002</v>
      </c>
      <c r="J59" s="85">
        <f t="shared" si="5"/>
        <v>281.37720250000001</v>
      </c>
      <c r="K59" s="85">
        <f t="shared" si="5"/>
        <v>289.81851857500004</v>
      </c>
      <c r="L59" s="85">
        <f t="shared" si="5"/>
        <v>298.51307413225004</v>
      </c>
    </row>
    <row r="60" spans="3:12" outlineLevel="1" x14ac:dyDescent="0.25">
      <c r="C60" s="9"/>
      <c r="D60" s="7"/>
      <c r="G60" s="83"/>
      <c r="H60" s="83"/>
      <c r="I60" s="83"/>
      <c r="J60" s="83"/>
      <c r="K60" s="83"/>
      <c r="L60" s="83"/>
    </row>
    <row r="61" spans="3:12" outlineLevel="1" x14ac:dyDescent="0.25">
      <c r="C61" s="9" t="s">
        <v>104</v>
      </c>
      <c r="D61" s="7" t="s">
        <v>7</v>
      </c>
      <c r="G61" s="17">
        <v>0.02</v>
      </c>
      <c r="H61" s="17">
        <v>0.02</v>
      </c>
      <c r="I61" s="17">
        <v>0.02</v>
      </c>
      <c r="J61" s="17">
        <v>0.02</v>
      </c>
      <c r="K61" s="17">
        <v>0.02</v>
      </c>
      <c r="L61" s="17">
        <v>0.02</v>
      </c>
    </row>
    <row r="62" spans="3:12" outlineLevel="1" x14ac:dyDescent="0.25">
      <c r="C62" s="9" t="s">
        <v>23</v>
      </c>
      <c r="D62" s="7" t="s">
        <v>7</v>
      </c>
      <c r="G62" s="17">
        <v>0.03</v>
      </c>
      <c r="H62" s="17">
        <v>0.03</v>
      </c>
      <c r="I62" s="17">
        <v>0.03</v>
      </c>
      <c r="J62" s="17">
        <v>0.03</v>
      </c>
      <c r="K62" s="17">
        <v>0.03</v>
      </c>
      <c r="L62" s="17">
        <v>0.03</v>
      </c>
    </row>
    <row r="63" spans="3:12" outlineLevel="1" x14ac:dyDescent="0.25">
      <c r="C63" s="9"/>
      <c r="D63" s="7"/>
      <c r="G63" s="83"/>
      <c r="H63" s="83"/>
      <c r="I63" s="83"/>
      <c r="J63" s="83"/>
      <c r="K63" s="83"/>
      <c r="L63" s="83"/>
    </row>
    <row r="64" spans="3:12" outlineLevel="1" x14ac:dyDescent="0.25">
      <c r="C64" s="9" t="s">
        <v>118</v>
      </c>
      <c r="D64" s="7" t="s">
        <v>113</v>
      </c>
      <c r="F64" s="90">
        <v>0</v>
      </c>
      <c r="G64" s="90">
        <v>500</v>
      </c>
      <c r="H64" s="90">
        <v>1000</v>
      </c>
      <c r="I64" s="90">
        <v>750</v>
      </c>
      <c r="J64" s="90">
        <v>0</v>
      </c>
      <c r="K64" s="90">
        <v>200</v>
      </c>
      <c r="L64" s="90">
        <v>0</v>
      </c>
    </row>
    <row r="65" spans="2:12" outlineLevel="1" x14ac:dyDescent="0.25">
      <c r="C65" s="9"/>
      <c r="D65" s="7"/>
      <c r="G65" s="83"/>
      <c r="H65" s="83"/>
      <c r="I65" s="83"/>
      <c r="J65" s="83"/>
      <c r="K65" s="83"/>
      <c r="L65" s="83"/>
    </row>
    <row r="66" spans="2:12" outlineLevel="1" x14ac:dyDescent="0.25">
      <c r="C66" s="9" t="s">
        <v>129</v>
      </c>
      <c r="D66" s="7" t="s">
        <v>13</v>
      </c>
      <c r="E66" s="91">
        <v>0</v>
      </c>
      <c r="F66" s="33">
        <f>+E66-F90-F97+K38</f>
        <v>38000</v>
      </c>
      <c r="G66" s="33">
        <f t="shared" ref="G66:L66" si="6">+F66-G90-G97</f>
        <v>19570</v>
      </c>
      <c r="H66" s="33">
        <f t="shared" si="6"/>
        <v>0</v>
      </c>
      <c r="I66" s="33">
        <f t="shared" si="6"/>
        <v>0</v>
      </c>
      <c r="J66" s="33">
        <f t="shared" si="6"/>
        <v>21384.667390000002</v>
      </c>
      <c r="K66" s="33">
        <f t="shared" si="6"/>
        <v>28210.874801700003</v>
      </c>
      <c r="L66" s="33">
        <f t="shared" si="6"/>
        <v>50897.868435751006</v>
      </c>
    </row>
    <row r="67" spans="2:12" outlineLevel="1" x14ac:dyDescent="0.25">
      <c r="D67" s="4"/>
    </row>
    <row r="68" spans="2:12" outlineLevel="1" x14ac:dyDescent="0.25">
      <c r="B68" s="2"/>
      <c r="C68" s="44" t="s">
        <v>29</v>
      </c>
      <c r="D68" s="45" t="s">
        <v>54</v>
      </c>
      <c r="E68" s="2"/>
      <c r="F68" s="46">
        <f>YEAR(F71)</f>
        <v>2017</v>
      </c>
      <c r="G68" s="46">
        <f t="shared" ref="G68:K68" si="7">YEAR(G71)</f>
        <v>2018</v>
      </c>
      <c r="H68" s="46">
        <f t="shared" si="7"/>
        <v>2019</v>
      </c>
      <c r="I68" s="46">
        <f t="shared" si="7"/>
        <v>2020</v>
      </c>
      <c r="J68" s="46">
        <f t="shared" si="7"/>
        <v>2021</v>
      </c>
      <c r="K68" s="46">
        <f t="shared" si="7"/>
        <v>2022</v>
      </c>
      <c r="L68" s="46">
        <f>YEAR(EOMONTH(K71,Months))</f>
        <v>2023</v>
      </c>
    </row>
    <row r="69" spans="2:12" x14ac:dyDescent="0.25">
      <c r="D69" s="4"/>
    </row>
    <row r="70" spans="2:12" x14ac:dyDescent="0.25">
      <c r="B70" s="36"/>
      <c r="C70" s="36"/>
      <c r="D70" s="37"/>
      <c r="E70" s="47"/>
      <c r="F70" s="38" t="str">
        <f>+$F$41</f>
        <v>Historical:</v>
      </c>
      <c r="G70" s="39" t="str">
        <f>+$G$41</f>
        <v>Projected:</v>
      </c>
      <c r="H70" s="40"/>
      <c r="I70" s="40"/>
      <c r="J70" s="40"/>
      <c r="K70" s="40"/>
      <c r="L70" s="48" t="str">
        <f>+$L$41</f>
        <v>Stabilized</v>
      </c>
    </row>
    <row r="71" spans="2:12" x14ac:dyDescent="0.25">
      <c r="B71" s="5" t="s">
        <v>30</v>
      </c>
      <c r="C71" s="5"/>
      <c r="D71" s="6" t="str">
        <f>+$D$5</f>
        <v>Units:</v>
      </c>
      <c r="E71" s="49"/>
      <c r="F71" s="50">
        <f>+$F$42</f>
        <v>43100</v>
      </c>
      <c r="G71" s="43">
        <f>+$G$42</f>
        <v>43465</v>
      </c>
      <c r="H71" s="42">
        <f>+$H$42</f>
        <v>43830</v>
      </c>
      <c r="I71" s="42">
        <f>+$I$42</f>
        <v>44196</v>
      </c>
      <c r="J71" s="42">
        <f>+$J$42</f>
        <v>44561</v>
      </c>
      <c r="K71" s="42">
        <f>+$K$42</f>
        <v>44926</v>
      </c>
      <c r="L71" s="42" t="str">
        <f>+$L$42</f>
        <v>Year:</v>
      </c>
    </row>
    <row r="72" spans="2:12" outlineLevel="1" x14ac:dyDescent="0.25">
      <c r="D72" s="4"/>
      <c r="E72" s="51"/>
      <c r="F72" s="51"/>
      <c r="G72" s="51"/>
      <c r="H72" s="32"/>
      <c r="I72" s="32"/>
      <c r="J72" s="32"/>
      <c r="K72" s="32"/>
    </row>
    <row r="73" spans="2:12" outlineLevel="1" x14ac:dyDescent="0.25">
      <c r="C73" s="2" t="s">
        <v>31</v>
      </c>
      <c r="D73" s="4"/>
      <c r="E73" s="32"/>
      <c r="F73" s="30"/>
      <c r="G73" s="32"/>
      <c r="H73" s="32"/>
      <c r="I73" s="32"/>
      <c r="J73" s="32"/>
      <c r="K73" s="32"/>
    </row>
    <row r="74" spans="2:12" outlineLevel="1" x14ac:dyDescent="0.25">
      <c r="C74" s="9" t="s">
        <v>78</v>
      </c>
      <c r="D74" s="7" t="s">
        <v>13</v>
      </c>
      <c r="E74" s="32"/>
      <c r="F74" s="30">
        <f t="shared" ref="F74:L74" si="8">+F44*Rentable_SF*Months</f>
        <v>929024</v>
      </c>
      <c r="G74" s="30">
        <f t="shared" si="8"/>
        <v>961539.84000000008</v>
      </c>
      <c r="H74" s="30">
        <f t="shared" si="8"/>
        <v>995193.73439999996</v>
      </c>
      <c r="I74" s="30">
        <f t="shared" si="8"/>
        <v>1030025.5151039998</v>
      </c>
      <c r="J74" s="30">
        <f t="shared" si="8"/>
        <v>1060926.2805571198</v>
      </c>
      <c r="K74" s="30">
        <f t="shared" si="8"/>
        <v>1092754.0689738332</v>
      </c>
      <c r="L74" s="30">
        <f t="shared" si="8"/>
        <v>1125536.6910430484</v>
      </c>
    </row>
    <row r="75" spans="2:12" outlineLevel="1" x14ac:dyDescent="0.25">
      <c r="C75" s="9" t="s">
        <v>83</v>
      </c>
      <c r="D75" s="7" t="s">
        <v>13</v>
      </c>
      <c r="E75" s="32"/>
      <c r="F75" s="33">
        <f t="shared" ref="F75:L75" si="9">(F45-F44)*Rentable_SF*Months</f>
        <v>-92902.400000000023</v>
      </c>
      <c r="G75" s="33">
        <f t="shared" si="9"/>
        <v>-72115.487999999939</v>
      </c>
      <c r="H75" s="33">
        <f t="shared" si="9"/>
        <v>-49759.686720000042</v>
      </c>
      <c r="I75" s="33">
        <f t="shared" si="9"/>
        <v>-25750.637877599984</v>
      </c>
      <c r="J75" s="33">
        <f t="shared" si="9"/>
        <v>-10609.26280557127</v>
      </c>
      <c r="K75" s="33">
        <f t="shared" si="9"/>
        <v>-10927.540689738235</v>
      </c>
      <c r="L75" s="33">
        <f t="shared" si="9"/>
        <v>-11255.366910430501</v>
      </c>
    </row>
    <row r="76" spans="2:12" outlineLevel="1" x14ac:dyDescent="0.25">
      <c r="C76" s="9" t="s">
        <v>82</v>
      </c>
      <c r="D76" s="7" t="s">
        <v>13</v>
      </c>
      <c r="E76" s="32"/>
      <c r="F76" s="33">
        <f t="shared" ref="F76:L76" si="10">SUM(F74:F75)*F50</f>
        <v>-25083.647999999997</v>
      </c>
      <c r="G76" s="33">
        <f t="shared" si="10"/>
        <v>-26682.730560000004</v>
      </c>
      <c r="H76" s="33">
        <f t="shared" si="10"/>
        <v>-18908.6809536</v>
      </c>
      <c r="I76" s="33">
        <f t="shared" si="10"/>
        <v>-20085.497544527996</v>
      </c>
      <c r="J76" s="33">
        <f t="shared" si="10"/>
        <v>-10503.170177515485</v>
      </c>
      <c r="K76" s="33">
        <f t="shared" si="10"/>
        <v>-10818.26528284095</v>
      </c>
      <c r="L76" s="33">
        <f t="shared" si="10"/>
        <v>-11142.813241326177</v>
      </c>
    </row>
    <row r="77" spans="2:12" outlineLevel="1" x14ac:dyDescent="0.25">
      <c r="C77" s="9" t="s">
        <v>96</v>
      </c>
      <c r="D77" s="7" t="s">
        <v>13</v>
      </c>
      <c r="E77" s="32"/>
      <c r="F77" s="33">
        <f t="shared" ref="F77:L77" si="11">+F52*Parking_Spots*Months</f>
        <v>51528</v>
      </c>
      <c r="G77" s="32">
        <f t="shared" si="11"/>
        <v>53331.479999999989</v>
      </c>
      <c r="H77" s="32">
        <f t="shared" si="11"/>
        <v>55198.081799999985</v>
      </c>
      <c r="I77" s="32">
        <f t="shared" si="11"/>
        <v>57130.01466299998</v>
      </c>
      <c r="J77" s="32">
        <f t="shared" si="11"/>
        <v>58843.915102889987</v>
      </c>
      <c r="K77" s="32">
        <f t="shared" si="11"/>
        <v>60609.232555976683</v>
      </c>
      <c r="L77" s="32">
        <f t="shared" si="11"/>
        <v>62427.509532655982</v>
      </c>
    </row>
    <row r="78" spans="2:12" outlineLevel="1" x14ac:dyDescent="0.25">
      <c r="C78" s="9" t="s">
        <v>81</v>
      </c>
      <c r="D78" s="52" t="s">
        <v>13</v>
      </c>
      <c r="E78" s="76"/>
      <c r="F78" s="77">
        <f t="shared" ref="F78:L78" si="12">-F87*F53</f>
        <v>62016</v>
      </c>
      <c r="G78" s="76">
        <f t="shared" si="12"/>
        <v>66271.847999999998</v>
      </c>
      <c r="H78" s="76">
        <f t="shared" si="12"/>
        <v>70727.232480000006</v>
      </c>
      <c r="I78" s="76">
        <f t="shared" si="12"/>
        <v>75390.295365600017</v>
      </c>
      <c r="J78" s="76">
        <f t="shared" si="12"/>
        <v>80269.487515104003</v>
      </c>
      <c r="K78" s="76">
        <f t="shared" si="12"/>
        <v>85373.579927749204</v>
      </c>
      <c r="L78" s="76">
        <f t="shared" si="12"/>
        <v>87934.787325581681</v>
      </c>
    </row>
    <row r="79" spans="2:12" outlineLevel="1" x14ac:dyDescent="0.25">
      <c r="C79" s="75" t="s">
        <v>79</v>
      </c>
      <c r="D79" s="7" t="s">
        <v>13</v>
      </c>
      <c r="E79" s="32"/>
      <c r="F79" s="88">
        <f>SUM(F74:F78)</f>
        <v>924581.95199999993</v>
      </c>
      <c r="G79" s="59">
        <f t="shared" ref="G79:L79" si="13">SUM(G74:G78)</f>
        <v>982344.94944000011</v>
      </c>
      <c r="H79" s="59">
        <f t="shared" si="13"/>
        <v>1052450.6810063999</v>
      </c>
      <c r="I79" s="59">
        <f t="shared" si="13"/>
        <v>1116709.6897104718</v>
      </c>
      <c r="J79" s="59">
        <f t="shared" si="13"/>
        <v>1178927.2501920268</v>
      </c>
      <c r="K79" s="59">
        <f t="shared" si="13"/>
        <v>1216991.0754849799</v>
      </c>
      <c r="L79" s="59">
        <f t="shared" si="13"/>
        <v>1253500.8077495294</v>
      </c>
    </row>
    <row r="80" spans="2:12" outlineLevel="1" x14ac:dyDescent="0.25">
      <c r="C80" s="9" t="s">
        <v>80</v>
      </c>
      <c r="D80" s="52" t="s">
        <v>13</v>
      </c>
      <c r="E80" s="32"/>
      <c r="F80" s="32">
        <f>F79*F54</f>
        <v>0</v>
      </c>
      <c r="G80" s="32">
        <f t="shared" ref="G80:L80" si="14">G79*G54</f>
        <v>-9823.4494944000016</v>
      </c>
      <c r="H80" s="32">
        <f t="shared" si="14"/>
        <v>-21049.013620128</v>
      </c>
      <c r="I80" s="32">
        <f t="shared" si="14"/>
        <v>-33501.290691314149</v>
      </c>
      <c r="J80" s="32">
        <f t="shared" si="14"/>
        <v>-35367.817505760802</v>
      </c>
      <c r="K80" s="32">
        <f t="shared" si="14"/>
        <v>-36509.732264549399</v>
      </c>
      <c r="L80" s="32">
        <f t="shared" si="14"/>
        <v>-37605.024232485877</v>
      </c>
    </row>
    <row r="81" spans="3:12" outlineLevel="1" x14ac:dyDescent="0.25">
      <c r="C81" s="53" t="s">
        <v>32</v>
      </c>
      <c r="D81" s="7" t="s">
        <v>13</v>
      </c>
      <c r="E81" s="51"/>
      <c r="F81" s="34">
        <f>SUM(F79:F80)</f>
        <v>924581.95199999993</v>
      </c>
      <c r="G81" s="34">
        <f t="shared" ref="G81:L81" si="15">SUM(G79:G80)</f>
        <v>972521.49994560017</v>
      </c>
      <c r="H81" s="34">
        <f t="shared" si="15"/>
        <v>1031401.6673862719</v>
      </c>
      <c r="I81" s="34">
        <f t="shared" si="15"/>
        <v>1083208.3990191575</v>
      </c>
      <c r="J81" s="34">
        <f t="shared" si="15"/>
        <v>1143559.432686266</v>
      </c>
      <c r="K81" s="34">
        <f t="shared" si="15"/>
        <v>1180481.3432204304</v>
      </c>
      <c r="L81" s="34">
        <f t="shared" si="15"/>
        <v>1215895.7835170436</v>
      </c>
    </row>
    <row r="82" spans="3:12" outlineLevel="1" x14ac:dyDescent="0.25">
      <c r="C82" s="57" t="s">
        <v>117</v>
      </c>
      <c r="D82" s="7" t="s">
        <v>7</v>
      </c>
      <c r="E82" s="32"/>
      <c r="F82" s="95" t="s">
        <v>134</v>
      </c>
      <c r="G82" s="56">
        <f>+G81/F81-1</f>
        <v>5.1849971591918065E-2</v>
      </c>
      <c r="H82" s="56">
        <f t="shared" ref="H82:L82" si="16">+H81/G81-1</f>
        <v>6.0543820824491057E-2</v>
      </c>
      <c r="I82" s="56">
        <f t="shared" si="16"/>
        <v>5.0229443359512738E-2</v>
      </c>
      <c r="J82" s="56">
        <f t="shared" si="16"/>
        <v>5.5715071745895184E-2</v>
      </c>
      <c r="K82" s="56">
        <f t="shared" si="16"/>
        <v>3.2286831343285138E-2</v>
      </c>
      <c r="L82" s="56">
        <f t="shared" si="16"/>
        <v>3.0000000000000249E-2</v>
      </c>
    </row>
    <row r="83" spans="3:12" outlineLevel="1" x14ac:dyDescent="0.25">
      <c r="D83" s="4"/>
      <c r="E83" s="32"/>
      <c r="F83" s="32"/>
      <c r="G83" s="32"/>
      <c r="H83" s="32"/>
      <c r="I83" s="32"/>
      <c r="J83" s="32"/>
      <c r="K83" s="32"/>
      <c r="L83" s="32"/>
    </row>
    <row r="84" spans="3:12" outlineLevel="1" x14ac:dyDescent="0.25">
      <c r="C84" s="2" t="s">
        <v>33</v>
      </c>
      <c r="D84" s="4"/>
      <c r="E84" s="32"/>
      <c r="F84" s="32"/>
      <c r="G84" s="32"/>
      <c r="H84" s="32"/>
      <c r="I84" s="32"/>
      <c r="J84" s="32"/>
      <c r="K84" s="32"/>
      <c r="L84" s="32"/>
    </row>
    <row r="85" spans="3:12" outlineLevel="1" x14ac:dyDescent="0.25">
      <c r="C85" s="9" t="s">
        <v>97</v>
      </c>
      <c r="D85" s="7" t="s">
        <v>13</v>
      </c>
      <c r="E85" s="32"/>
      <c r="F85" s="32">
        <f>-RE_Taxes_Pct_Property_Value*Entry_Price</f>
        <v>-66470</v>
      </c>
      <c r="G85" s="32">
        <f t="shared" ref="G85:L85" si="17">+F85*(1+G61)</f>
        <v>-67799.399999999994</v>
      </c>
      <c r="H85" s="32">
        <f t="shared" si="17"/>
        <v>-69155.387999999992</v>
      </c>
      <c r="I85" s="32">
        <f t="shared" si="17"/>
        <v>-70538.495759999991</v>
      </c>
      <c r="J85" s="32">
        <f t="shared" si="17"/>
        <v>-71949.265675199989</v>
      </c>
      <c r="K85" s="32">
        <f t="shared" si="17"/>
        <v>-73388.250988703992</v>
      </c>
      <c r="L85" s="32">
        <f t="shared" si="17"/>
        <v>-74856.01600847808</v>
      </c>
    </row>
    <row r="86" spans="3:12" outlineLevel="1" x14ac:dyDescent="0.25">
      <c r="C86" s="9" t="s">
        <v>84</v>
      </c>
      <c r="D86" s="7" t="s">
        <v>13</v>
      </c>
      <c r="E86" s="32"/>
      <c r="F86" s="32">
        <f t="shared" ref="F86:L86" si="18">-F56*Gross_SF</f>
        <v>-21774</v>
      </c>
      <c r="G86" s="32">
        <f t="shared" si="18"/>
        <v>-22427.22</v>
      </c>
      <c r="H86" s="32">
        <f t="shared" si="18"/>
        <v>-23100.036600000003</v>
      </c>
      <c r="I86" s="32">
        <f t="shared" si="18"/>
        <v>-23793.037698000004</v>
      </c>
      <c r="J86" s="32">
        <f t="shared" si="18"/>
        <v>-24506.828828940004</v>
      </c>
      <c r="K86" s="32">
        <f t="shared" si="18"/>
        <v>-25242.033693808204</v>
      </c>
      <c r="L86" s="32">
        <f t="shared" si="18"/>
        <v>-25999.294704622451</v>
      </c>
    </row>
    <row r="87" spans="3:12" outlineLevel="1" x14ac:dyDescent="0.25">
      <c r="C87" s="9" t="s">
        <v>98</v>
      </c>
      <c r="D87" s="7" t="s">
        <v>13</v>
      </c>
      <c r="E87" s="32"/>
      <c r="F87" s="32">
        <f t="shared" ref="F87:L87" si="19">-F57*Apt_Units*Months</f>
        <v>-77520</v>
      </c>
      <c r="G87" s="32">
        <f t="shared" si="19"/>
        <v>-79845.600000000006</v>
      </c>
      <c r="H87" s="32">
        <f t="shared" si="19"/>
        <v>-82240.968000000008</v>
      </c>
      <c r="I87" s="32">
        <f t="shared" si="19"/>
        <v>-84708.197040000014</v>
      </c>
      <c r="J87" s="32">
        <f t="shared" si="19"/>
        <v>-87249.442951200006</v>
      </c>
      <c r="K87" s="32">
        <f t="shared" si="19"/>
        <v>-89866.926239736014</v>
      </c>
      <c r="L87" s="32">
        <f t="shared" si="19"/>
        <v>-92562.934026928095</v>
      </c>
    </row>
    <row r="88" spans="3:12" outlineLevel="1" x14ac:dyDescent="0.25">
      <c r="C88" s="9" t="s">
        <v>99</v>
      </c>
      <c r="D88" s="7" t="s">
        <v>13</v>
      </c>
      <c r="E88" s="32"/>
      <c r="F88" s="32">
        <f t="shared" ref="F88:L88" si="20">-F81*Prop_Mgmt_Fee</f>
        <v>-27737.458560000003</v>
      </c>
      <c r="G88" s="32">
        <f t="shared" si="20"/>
        <v>-29175.64499836801</v>
      </c>
      <c r="H88" s="32">
        <f t="shared" si="20"/>
        <v>-30942.050021588162</v>
      </c>
      <c r="I88" s="32">
        <f t="shared" si="20"/>
        <v>-32496.251970574733</v>
      </c>
      <c r="J88" s="32">
        <f t="shared" si="20"/>
        <v>-34306.782980587988</v>
      </c>
      <c r="K88" s="32">
        <f t="shared" si="20"/>
        <v>-35414.44029661292</v>
      </c>
      <c r="L88" s="32">
        <f t="shared" si="20"/>
        <v>-36476.873505511314</v>
      </c>
    </row>
    <row r="89" spans="3:12" outlineLevel="1" x14ac:dyDescent="0.25">
      <c r="C89" s="9" t="s">
        <v>100</v>
      </c>
      <c r="D89" s="7" t="s">
        <v>13</v>
      </c>
      <c r="E89" s="32"/>
      <c r="F89" s="32">
        <f t="shared" ref="F89:L89" si="21">-F81*F58</f>
        <v>-175670.57087999998</v>
      </c>
      <c r="G89" s="32">
        <f t="shared" si="21"/>
        <v>-186724.12798955524</v>
      </c>
      <c r="H89" s="32">
        <f t="shared" si="21"/>
        <v>-200091.92347293676</v>
      </c>
      <c r="I89" s="32">
        <f t="shared" si="21"/>
        <v>-212308.84620775489</v>
      </c>
      <c r="J89" s="32">
        <f t="shared" si="21"/>
        <v>-226424.76767188069</v>
      </c>
      <c r="K89" s="32">
        <f t="shared" si="21"/>
        <v>-236096.26864408609</v>
      </c>
      <c r="L89" s="32">
        <f t="shared" si="21"/>
        <v>-243179.15670340872</v>
      </c>
    </row>
    <row r="90" spans="3:12" outlineLevel="1" x14ac:dyDescent="0.25">
      <c r="C90" s="9" t="s">
        <v>116</v>
      </c>
      <c r="D90" s="52" t="s">
        <v>13</v>
      </c>
      <c r="E90" s="32"/>
      <c r="F90" s="32">
        <f t="shared" ref="F90:L90" si="22">-F59*Apt_Units</f>
        <v>-19000</v>
      </c>
      <c r="G90" s="32">
        <f t="shared" si="22"/>
        <v>-19570</v>
      </c>
      <c r="H90" s="32">
        <f t="shared" si="22"/>
        <v>-20157.100000000002</v>
      </c>
      <c r="I90" s="32">
        <f t="shared" si="22"/>
        <v>-20761.813000000002</v>
      </c>
      <c r="J90" s="32">
        <f t="shared" si="22"/>
        <v>-21384.667390000002</v>
      </c>
      <c r="K90" s="32">
        <f t="shared" si="22"/>
        <v>-22026.207411700005</v>
      </c>
      <c r="L90" s="32">
        <f t="shared" si="22"/>
        <v>-22686.993634051003</v>
      </c>
    </row>
    <row r="91" spans="3:12" outlineLevel="1" x14ac:dyDescent="0.25">
      <c r="C91" s="53" t="s">
        <v>34</v>
      </c>
      <c r="D91" s="7" t="s">
        <v>13</v>
      </c>
      <c r="E91" s="51"/>
      <c r="F91" s="34">
        <f>SUM(F85:F90)</f>
        <v>-388172.02943999995</v>
      </c>
      <c r="G91" s="34">
        <f t="shared" ref="G91:L91" si="23">SUM(G85:G90)</f>
        <v>-405541.99298792327</v>
      </c>
      <c r="H91" s="34">
        <f t="shared" si="23"/>
        <v>-425687.46609452495</v>
      </c>
      <c r="I91" s="34">
        <f t="shared" si="23"/>
        <v>-444606.6416763296</v>
      </c>
      <c r="J91" s="34">
        <f t="shared" si="23"/>
        <v>-465821.75549780874</v>
      </c>
      <c r="K91" s="34">
        <f t="shared" si="23"/>
        <v>-482034.12727464718</v>
      </c>
      <c r="L91" s="34">
        <f t="shared" si="23"/>
        <v>-495761.26858299965</v>
      </c>
    </row>
    <row r="92" spans="3:12" outlineLevel="1" x14ac:dyDescent="0.25">
      <c r="D92" s="4"/>
      <c r="E92" s="32"/>
      <c r="F92" s="32"/>
      <c r="G92" s="32"/>
      <c r="H92" s="32"/>
      <c r="I92" s="32"/>
      <c r="J92" s="32"/>
      <c r="K92" s="32"/>
      <c r="L92" s="32"/>
    </row>
    <row r="93" spans="3:12" outlineLevel="1" x14ac:dyDescent="0.25">
      <c r="C93" s="2" t="s">
        <v>35</v>
      </c>
      <c r="D93" s="7" t="s">
        <v>13</v>
      </c>
      <c r="E93" s="32"/>
      <c r="F93" s="54">
        <f>+F81+F91</f>
        <v>536409.92255999998</v>
      </c>
      <c r="G93" s="54">
        <f t="shared" ref="G93:L93" si="24">+G81+G91</f>
        <v>566979.50695767696</v>
      </c>
      <c r="H93" s="54">
        <f t="shared" si="24"/>
        <v>605714.20129174693</v>
      </c>
      <c r="I93" s="54">
        <f t="shared" si="24"/>
        <v>638601.75734282797</v>
      </c>
      <c r="J93" s="54">
        <f t="shared" si="24"/>
        <v>677737.67718845722</v>
      </c>
      <c r="K93" s="54">
        <f t="shared" si="24"/>
        <v>698447.2159457833</v>
      </c>
      <c r="L93" s="54">
        <f t="shared" si="24"/>
        <v>720134.51493404387</v>
      </c>
    </row>
    <row r="94" spans="3:12" outlineLevel="1" x14ac:dyDescent="0.25">
      <c r="C94" s="55" t="s">
        <v>36</v>
      </c>
      <c r="D94" s="7" t="s">
        <v>7</v>
      </c>
      <c r="E94" s="32"/>
      <c r="F94" s="56">
        <f>+F93/F$81</f>
        <v>0.58016482086814525</v>
      </c>
      <c r="G94" s="56">
        <f t="shared" ref="G94:L94" si="25">+G93/G$81</f>
        <v>0.58299945758463134</v>
      </c>
      <c r="H94" s="56">
        <f t="shared" si="25"/>
        <v>0.5872728544512813</v>
      </c>
      <c r="I94" s="56">
        <f t="shared" si="25"/>
        <v>0.58954653409360591</v>
      </c>
      <c r="J94" s="56">
        <f t="shared" si="25"/>
        <v>0.5926562781231447</v>
      </c>
      <c r="K94" s="56">
        <f t="shared" si="25"/>
        <v>0.59166307028654397</v>
      </c>
      <c r="L94" s="56">
        <f t="shared" si="25"/>
        <v>0.59226664381631156</v>
      </c>
    </row>
    <row r="95" spans="3:12" outlineLevel="1" x14ac:dyDescent="0.25">
      <c r="D95" s="4"/>
      <c r="E95" s="32"/>
      <c r="F95" s="32"/>
      <c r="G95" s="32"/>
      <c r="H95" s="32"/>
      <c r="I95" s="32"/>
      <c r="J95" s="32"/>
      <c r="K95" s="32"/>
      <c r="L95" s="32"/>
    </row>
    <row r="96" spans="3:12" outlineLevel="1" x14ac:dyDescent="0.25">
      <c r="C96" s="9" t="s">
        <v>77</v>
      </c>
      <c r="D96" s="7" t="s">
        <v>13</v>
      </c>
      <c r="E96" s="32"/>
      <c r="F96" s="32">
        <f t="shared" ref="F96:L96" si="26">-F64*Apt_Units</f>
        <v>0</v>
      </c>
      <c r="G96" s="32">
        <f t="shared" si="26"/>
        <v>-38000</v>
      </c>
      <c r="H96" s="32">
        <f t="shared" si="26"/>
        <v>-76000</v>
      </c>
      <c r="I96" s="32">
        <f t="shared" si="26"/>
        <v>-57000</v>
      </c>
      <c r="J96" s="32">
        <f t="shared" si="26"/>
        <v>0</v>
      </c>
      <c r="K96" s="32">
        <f t="shared" si="26"/>
        <v>-15200</v>
      </c>
      <c r="L96" s="32">
        <f t="shared" si="26"/>
        <v>0</v>
      </c>
    </row>
    <row r="97" spans="3:12" outlineLevel="1" x14ac:dyDescent="0.25">
      <c r="C97" s="9" t="s">
        <v>85</v>
      </c>
      <c r="D97" s="7" t="s">
        <v>13</v>
      </c>
      <c r="E97" s="32"/>
      <c r="F97" s="32">
        <f t="shared" ref="F97:L97" si="27">MIN(-F96,E66-F90)</f>
        <v>0</v>
      </c>
      <c r="G97" s="32">
        <f t="shared" si="27"/>
        <v>38000</v>
      </c>
      <c r="H97" s="32">
        <f t="shared" si="27"/>
        <v>39727.100000000006</v>
      </c>
      <c r="I97" s="32">
        <f t="shared" si="27"/>
        <v>20761.813000000002</v>
      </c>
      <c r="J97" s="32">
        <f t="shared" si="27"/>
        <v>0</v>
      </c>
      <c r="K97" s="32">
        <f t="shared" si="27"/>
        <v>15200</v>
      </c>
      <c r="L97" s="32">
        <f t="shared" si="27"/>
        <v>0</v>
      </c>
    </row>
    <row r="98" spans="3:12" outlineLevel="1" x14ac:dyDescent="0.25">
      <c r="D98" s="4"/>
      <c r="E98" s="32"/>
      <c r="F98" s="32"/>
      <c r="G98" s="32"/>
      <c r="H98" s="32"/>
      <c r="I98" s="32"/>
      <c r="J98" s="32"/>
      <c r="K98" s="32"/>
      <c r="L98" s="32"/>
    </row>
    <row r="99" spans="3:12" outlineLevel="1" x14ac:dyDescent="0.25">
      <c r="C99" s="2" t="s">
        <v>37</v>
      </c>
      <c r="D99" s="7" t="s">
        <v>13</v>
      </c>
      <c r="E99" s="32"/>
      <c r="F99" s="54">
        <f>+F93+SUM(F96:F97)</f>
        <v>536409.92255999998</v>
      </c>
      <c r="G99" s="54">
        <f t="shared" ref="G99:L99" si="28">+G93+SUM(G96:G97)</f>
        <v>566979.50695767696</v>
      </c>
      <c r="H99" s="54">
        <f t="shared" si="28"/>
        <v>569441.3012917469</v>
      </c>
      <c r="I99" s="54">
        <f t="shared" si="28"/>
        <v>602363.57034282794</v>
      </c>
      <c r="J99" s="54">
        <f t="shared" si="28"/>
        <v>677737.67718845722</v>
      </c>
      <c r="K99" s="54">
        <f t="shared" si="28"/>
        <v>698447.2159457833</v>
      </c>
      <c r="L99" s="54">
        <f t="shared" si="28"/>
        <v>720134.51493404387</v>
      </c>
    </row>
    <row r="100" spans="3:12" outlineLevel="1" x14ac:dyDescent="0.25">
      <c r="C100" s="57" t="s">
        <v>53</v>
      </c>
      <c r="D100" s="7" t="s">
        <v>7</v>
      </c>
      <c r="E100" s="32"/>
      <c r="F100" s="56">
        <f>+F99/F$81</f>
        <v>0.58016482086814525</v>
      </c>
      <c r="G100" s="56">
        <f t="shared" ref="G100:L100" si="29">+G99/G$81</f>
        <v>0.58299945758463134</v>
      </c>
      <c r="H100" s="56">
        <f t="shared" si="29"/>
        <v>0.55210430552705758</v>
      </c>
      <c r="I100" s="56">
        <f t="shared" si="29"/>
        <v>0.55609204183448602</v>
      </c>
      <c r="J100" s="56">
        <f t="shared" si="29"/>
        <v>0.5926562781231447</v>
      </c>
      <c r="K100" s="56">
        <f t="shared" si="29"/>
        <v>0.59166307028654397</v>
      </c>
      <c r="L100" s="56">
        <f t="shared" si="29"/>
        <v>0.59226664381631156</v>
      </c>
    </row>
    <row r="101" spans="3:12" outlineLevel="1" x14ac:dyDescent="0.25">
      <c r="D101" s="4"/>
      <c r="E101" s="32"/>
      <c r="F101" s="32"/>
      <c r="G101" s="32"/>
      <c r="H101" s="32"/>
      <c r="I101" s="32"/>
      <c r="J101" s="32"/>
      <c r="K101" s="32"/>
    </row>
    <row r="102" spans="3:12" outlineLevel="1" x14ac:dyDescent="0.25">
      <c r="C102" s="9" t="s">
        <v>75</v>
      </c>
      <c r="D102" s="7" t="s">
        <v>13</v>
      </c>
      <c r="E102" s="32"/>
      <c r="F102" s="32"/>
      <c r="G102" s="32">
        <f>IPMT(Loan_Interest_Rate, G68-$F68, Loan_Amort_Period, $E$35)</f>
        <v>-317687.5</v>
      </c>
      <c r="H102" s="32">
        <f>IPMT(Loan_Interest_Rate, H68-$F68, Loan_Amort_Period, $E$35)</f>
        <v>-312905.84721793461</v>
      </c>
      <c r="I102" s="32">
        <f>IPMT(Loan_Interest_Rate, I68-$F68, Loan_Amort_Period, $E$35)</f>
        <v>-307885.111796766</v>
      </c>
      <c r="J102" s="32">
        <f>IPMT(Loan_Interest_Rate, J68-$F68, Loan_Amort_Period, $E$35)</f>
        <v>-302613.33960453892</v>
      </c>
      <c r="K102" s="32">
        <f>IPMT(Loan_Interest_Rate, K68-$F68, Loan_Amort_Period, $E$35)</f>
        <v>-297077.97880270053</v>
      </c>
    </row>
    <row r="103" spans="3:12" outlineLevel="1" x14ac:dyDescent="0.25">
      <c r="C103" s="9" t="s">
        <v>76</v>
      </c>
      <c r="D103" s="7" t="s">
        <v>13</v>
      </c>
      <c r="E103" s="32"/>
      <c r="F103" s="32"/>
      <c r="G103" s="32">
        <f>PPMT(Loan_Interest_Rate, G68-$F68, Loan_Amort_Period, $E$35)</f>
        <v>-95633.055641307321</v>
      </c>
      <c r="H103" s="32">
        <f>PPMT(Loan_Interest_Rate, H68-$F68, Loan_Amort_Period, $E$35)</f>
        <v>-100414.70842337269</v>
      </c>
      <c r="I103" s="32">
        <f>PPMT(Loan_Interest_Rate, I68-$F68, Loan_Amort_Period, $E$35)</f>
        <v>-105435.44384454131</v>
      </c>
      <c r="J103" s="32">
        <f>PPMT(Loan_Interest_Rate, J68-$F68, Loan_Amort_Period, $E$35)</f>
        <v>-110707.2160367684</v>
      </c>
      <c r="K103" s="32">
        <f>PPMT(Loan_Interest_Rate, K68-$F68, Loan_Amort_Period, $E$35)</f>
        <v>-116242.57683860681</v>
      </c>
    </row>
    <row r="104" spans="3:12" outlineLevel="1" x14ac:dyDescent="0.25">
      <c r="G104" s="32"/>
      <c r="H104" s="32"/>
      <c r="I104" s="32"/>
      <c r="J104" s="32"/>
    </row>
    <row r="105" spans="3:12" outlineLevel="1" x14ac:dyDescent="0.25">
      <c r="C105" s="58" t="s">
        <v>38</v>
      </c>
      <c r="D105" s="7" t="s">
        <v>13</v>
      </c>
      <c r="F105" s="32"/>
      <c r="G105" s="59">
        <f>+G99+SUM(G102:G103)</f>
        <v>153658.95131636964</v>
      </c>
      <c r="H105" s="59">
        <f t="shared" ref="H105:K105" si="30">+H99+SUM(H102:H103)</f>
        <v>156120.74565043958</v>
      </c>
      <c r="I105" s="59">
        <f t="shared" si="30"/>
        <v>189043.01470152062</v>
      </c>
      <c r="J105" s="59">
        <f t="shared" si="30"/>
        <v>264417.1215471499</v>
      </c>
      <c r="K105" s="59">
        <f t="shared" si="30"/>
        <v>285126.66030447598</v>
      </c>
    </row>
    <row r="106" spans="3:12" outlineLevel="1" x14ac:dyDescent="0.25"/>
    <row r="107" spans="3:12" outlineLevel="1" x14ac:dyDescent="0.25">
      <c r="C107" s="60" t="s">
        <v>59</v>
      </c>
      <c r="D107" s="7" t="s">
        <v>13</v>
      </c>
      <c r="F107" s="59">
        <f>+E35</f>
        <v>6353750</v>
      </c>
      <c r="G107" s="59">
        <f>+F107+G103</f>
        <v>6258116.9443586925</v>
      </c>
      <c r="H107" s="59">
        <f t="shared" ref="H107:K107" si="31">+G107+H103</f>
        <v>6157702.2359353201</v>
      </c>
      <c r="I107" s="59">
        <f t="shared" si="31"/>
        <v>6052266.7920907792</v>
      </c>
      <c r="J107" s="59">
        <f t="shared" si="31"/>
        <v>5941559.5760540105</v>
      </c>
      <c r="K107" s="59">
        <f t="shared" si="31"/>
        <v>5825316.9992154036</v>
      </c>
    </row>
    <row r="108" spans="3:12" outlineLevel="1" x14ac:dyDescent="0.25">
      <c r="D108" s="4"/>
    </row>
    <row r="109" spans="3:12" outlineLevel="1" x14ac:dyDescent="0.25">
      <c r="C109" s="61" t="s">
        <v>119</v>
      </c>
      <c r="D109" s="7" t="s">
        <v>7</v>
      </c>
      <c r="F109" s="56"/>
      <c r="G109" s="56">
        <f>+G93/$E35</f>
        <v>8.9235413253224788E-2</v>
      </c>
      <c r="H109" s="56">
        <f>+H93/$E35</f>
        <v>9.5331764909187003E-2</v>
      </c>
      <c r="I109" s="56">
        <f>+I93/$E35</f>
        <v>0.10050785085073036</v>
      </c>
      <c r="J109" s="56">
        <f>+J93/$E35</f>
        <v>0.10666735033459881</v>
      </c>
      <c r="K109" s="56">
        <f>+K93/$E35</f>
        <v>0.10992677016656043</v>
      </c>
      <c r="L109" s="56"/>
    </row>
    <row r="110" spans="3:12" outlineLevel="1" x14ac:dyDescent="0.25">
      <c r="D110" s="4"/>
    </row>
    <row r="111" spans="3:12" outlineLevel="1" x14ac:dyDescent="0.25">
      <c r="C111" s="61" t="s">
        <v>61</v>
      </c>
      <c r="D111" s="7" t="s">
        <v>39</v>
      </c>
      <c r="G111" s="62">
        <f>-G93/G102</f>
        <v>1.7847082650644956</v>
      </c>
      <c r="H111" s="62">
        <f t="shared" ref="H111:K111" si="32">-H93/H102</f>
        <v>1.9357714362872718</v>
      </c>
      <c r="I111" s="62">
        <f t="shared" si="32"/>
        <v>2.074156017535421</v>
      </c>
      <c r="J111" s="62">
        <f t="shared" si="32"/>
        <v>2.239615999989089</v>
      </c>
      <c r="K111" s="62">
        <f t="shared" si="32"/>
        <v>2.3510568462889858</v>
      </c>
    </row>
    <row r="112" spans="3:12" outlineLevel="1" x14ac:dyDescent="0.25">
      <c r="C112" s="61" t="s">
        <v>62</v>
      </c>
      <c r="D112" s="7" t="s">
        <v>39</v>
      </c>
      <c r="G112" s="62">
        <f>-G99/G102</f>
        <v>1.7847082650644956</v>
      </c>
      <c r="H112" s="62">
        <f t="shared" ref="H112:K112" si="33">-H99/H102</f>
        <v>1.8198487064229862</v>
      </c>
      <c r="I112" s="62">
        <f t="shared" si="33"/>
        <v>1.9564556623980125</v>
      </c>
      <c r="J112" s="62">
        <f t="shared" si="33"/>
        <v>2.239615999989089</v>
      </c>
      <c r="K112" s="62">
        <f t="shared" si="33"/>
        <v>2.3510568462889858</v>
      </c>
    </row>
    <row r="113" spans="2:11" outlineLevel="1" x14ac:dyDescent="0.25">
      <c r="D113" s="4"/>
    </row>
    <row r="114" spans="2:11" outlineLevel="1" x14ac:dyDescent="0.25">
      <c r="C114" s="61" t="s">
        <v>60</v>
      </c>
      <c r="D114" s="7" t="s">
        <v>39</v>
      </c>
      <c r="G114" s="62">
        <f>-G93/SUM(G102:G103)</f>
        <v>1.3717670200988497</v>
      </c>
      <c r="H114" s="62">
        <f t="shared" ref="H114:K114" si="34">-H93/SUM(H102:H103)</f>
        <v>1.465482887372785</v>
      </c>
      <c r="I114" s="62">
        <f t="shared" si="34"/>
        <v>1.545052015020097</v>
      </c>
      <c r="J114" s="62">
        <f t="shared" si="34"/>
        <v>1.6397386191859751</v>
      </c>
      <c r="K114" s="62">
        <f t="shared" si="34"/>
        <v>1.6898438909288556</v>
      </c>
    </row>
    <row r="115" spans="2:11" outlineLevel="1" x14ac:dyDescent="0.25">
      <c r="C115" s="61" t="s">
        <v>130</v>
      </c>
      <c r="D115" s="7" t="s">
        <v>39</v>
      </c>
      <c r="G115" s="62">
        <f>-G99/SUM(G102:G103)</f>
        <v>1.3717670200988497</v>
      </c>
      <c r="H115" s="62">
        <f t="shared" ref="H115:K115" si="35">-H99/SUM(H102:H103)</f>
        <v>1.3777231582595812</v>
      </c>
      <c r="I115" s="62">
        <f t="shared" si="35"/>
        <v>1.4573762715677228</v>
      </c>
      <c r="J115" s="62">
        <f t="shared" si="35"/>
        <v>1.6397386191859751</v>
      </c>
      <c r="K115" s="62">
        <f t="shared" si="35"/>
        <v>1.6898438909288556</v>
      </c>
    </row>
    <row r="116" spans="2:11" x14ac:dyDescent="0.25">
      <c r="D116" s="4"/>
    </row>
    <row r="117" spans="2:11" x14ac:dyDescent="0.25">
      <c r="B117" s="36"/>
      <c r="C117" s="36"/>
      <c r="D117" s="37"/>
      <c r="E117" s="36"/>
      <c r="F117" s="38" t="str">
        <f>+$F$41</f>
        <v>Historical:</v>
      </c>
      <c r="G117" s="39" t="str">
        <f>+$G$41</f>
        <v>Projected:</v>
      </c>
      <c r="H117" s="40"/>
      <c r="I117" s="40"/>
      <c r="J117" s="40"/>
      <c r="K117" s="40"/>
    </row>
    <row r="118" spans="2:11" x14ac:dyDescent="0.25">
      <c r="B118" s="5" t="s">
        <v>44</v>
      </c>
      <c r="C118" s="5"/>
      <c r="D118" s="6" t="str">
        <f>+$D$5</f>
        <v>Units:</v>
      </c>
      <c r="E118" s="5"/>
      <c r="F118" s="50">
        <f>+$F$42</f>
        <v>43100</v>
      </c>
      <c r="G118" s="43">
        <f>+$G$42</f>
        <v>43465</v>
      </c>
      <c r="H118" s="42">
        <f>+$H$42</f>
        <v>43830</v>
      </c>
      <c r="I118" s="42">
        <f>+$I$42</f>
        <v>44196</v>
      </c>
      <c r="J118" s="42">
        <f>+$J$42</f>
        <v>44561</v>
      </c>
      <c r="K118" s="42">
        <f>+$K$42</f>
        <v>44926</v>
      </c>
    </row>
    <row r="119" spans="2:11" outlineLevel="1" x14ac:dyDescent="0.25">
      <c r="D119" s="4"/>
      <c r="F119" s="51"/>
      <c r="G119" s="51"/>
      <c r="H119" s="32"/>
      <c r="I119" s="32"/>
      <c r="J119" s="32"/>
      <c r="K119" s="32"/>
    </row>
    <row r="120" spans="2:11" outlineLevel="1" x14ac:dyDescent="0.25">
      <c r="C120" s="58" t="s">
        <v>63</v>
      </c>
      <c r="D120" s="4"/>
      <c r="F120" s="32"/>
      <c r="G120" s="32"/>
      <c r="H120" s="32"/>
      <c r="I120" s="32"/>
      <c r="J120" s="32"/>
      <c r="K120" s="32"/>
    </row>
    <row r="121" spans="2:11" outlineLevel="1" x14ac:dyDescent="0.25">
      <c r="C121" s="9" t="s">
        <v>121</v>
      </c>
      <c r="D121" s="7" t="s">
        <v>13</v>
      </c>
      <c r="F121" s="32"/>
      <c r="G121" s="92">
        <v>0</v>
      </c>
      <c r="H121" s="92">
        <v>0</v>
      </c>
      <c r="I121" s="92">
        <v>0</v>
      </c>
      <c r="J121" s="92">
        <v>0</v>
      </c>
      <c r="K121" s="32">
        <f>+Exit_Price</f>
        <v>12002241.915567398</v>
      </c>
    </row>
    <row r="122" spans="2:11" outlineLevel="1" x14ac:dyDescent="0.25">
      <c r="C122" s="9" t="s">
        <v>125</v>
      </c>
      <c r="D122" s="7" t="s">
        <v>13</v>
      </c>
      <c r="F122" s="32"/>
      <c r="G122" s="92">
        <v>0</v>
      </c>
      <c r="H122" s="92">
        <v>0</v>
      </c>
      <c r="I122" s="92">
        <v>0</v>
      </c>
      <c r="J122" s="92">
        <v>0</v>
      </c>
      <c r="K122" s="32">
        <f>+K66</f>
        <v>28210.874801700003</v>
      </c>
    </row>
    <row r="123" spans="2:11" outlineLevel="1" x14ac:dyDescent="0.25">
      <c r="C123" s="9" t="s">
        <v>122</v>
      </c>
      <c r="D123" s="7" t="s">
        <v>13</v>
      </c>
      <c r="F123" s="92"/>
      <c r="G123" s="92">
        <v>0</v>
      </c>
      <c r="H123" s="92">
        <v>0</v>
      </c>
      <c r="I123" s="92">
        <v>0</v>
      </c>
      <c r="J123" s="92">
        <v>0</v>
      </c>
      <c r="K123" s="32">
        <f>-K121*Exit_Fee_Pct</f>
        <v>-240044.83831134796</v>
      </c>
    </row>
    <row r="124" spans="2:11" outlineLevel="1" x14ac:dyDescent="0.25">
      <c r="C124" s="9" t="s">
        <v>123</v>
      </c>
      <c r="D124" s="7" t="s">
        <v>13</v>
      </c>
      <c r="F124" s="32"/>
      <c r="G124" s="32">
        <f>+G99</f>
        <v>566979.50695767696</v>
      </c>
      <c r="H124" s="32">
        <f t="shared" ref="H124:K124" si="36">+H99</f>
        <v>569441.3012917469</v>
      </c>
      <c r="I124" s="32">
        <f t="shared" si="36"/>
        <v>602363.57034282794</v>
      </c>
      <c r="J124" s="32">
        <f t="shared" si="36"/>
        <v>677737.67718845722</v>
      </c>
      <c r="K124" s="32">
        <f t="shared" si="36"/>
        <v>698447.2159457833</v>
      </c>
    </row>
    <row r="125" spans="2:11" outlineLevel="1" x14ac:dyDescent="0.25">
      <c r="C125" s="9" t="s">
        <v>124</v>
      </c>
      <c r="D125" s="52" t="s">
        <v>13</v>
      </c>
      <c r="F125" s="32">
        <f>-Entry_Price*(1+Entry_Fee_Pct)-K38</f>
        <v>-9891750</v>
      </c>
      <c r="G125" s="63">
        <v>0</v>
      </c>
      <c r="H125" s="64">
        <v>0</v>
      </c>
      <c r="I125" s="64">
        <v>0</v>
      </c>
      <c r="J125" s="64">
        <v>0</v>
      </c>
      <c r="K125" s="64">
        <v>0</v>
      </c>
    </row>
    <row r="126" spans="2:11" outlineLevel="1" x14ac:dyDescent="0.25">
      <c r="C126" s="65" t="s">
        <v>66</v>
      </c>
      <c r="D126" s="7" t="s">
        <v>13</v>
      </c>
      <c r="E126" s="66"/>
      <c r="F126" s="67">
        <f>SUM(F121:F125)</f>
        <v>-9891750</v>
      </c>
      <c r="G126" s="67">
        <f t="shared" ref="G126:K126" si="37">SUM(G121:G125)</f>
        <v>566979.50695767696</v>
      </c>
      <c r="H126" s="67">
        <f t="shared" si="37"/>
        <v>569441.3012917469</v>
      </c>
      <c r="I126" s="67">
        <f t="shared" si="37"/>
        <v>602363.57034282794</v>
      </c>
      <c r="J126" s="67">
        <f t="shared" si="37"/>
        <v>677737.67718845722</v>
      </c>
      <c r="K126" s="67">
        <f t="shared" si="37"/>
        <v>12488855.168003533</v>
      </c>
    </row>
    <row r="127" spans="2:11" outlineLevel="1" x14ac:dyDescent="0.25">
      <c r="D127" s="4"/>
      <c r="F127" s="32"/>
      <c r="G127" s="32"/>
      <c r="H127" s="32"/>
      <c r="I127" s="32"/>
      <c r="J127" s="32"/>
      <c r="K127" s="32"/>
    </row>
    <row r="128" spans="2:11" outlineLevel="1" x14ac:dyDescent="0.25">
      <c r="C128" s="68" t="s">
        <v>64</v>
      </c>
      <c r="D128" s="69" t="s">
        <v>7</v>
      </c>
      <c r="E128" s="70"/>
      <c r="F128" s="71">
        <f>IRR(F126:K126)</f>
        <v>9.4124851459317815E-2</v>
      </c>
      <c r="G128" s="32"/>
      <c r="H128" s="32"/>
      <c r="I128" s="32"/>
      <c r="J128" s="32"/>
      <c r="K128" s="32"/>
    </row>
    <row r="129" spans="3:11" outlineLevel="1" x14ac:dyDescent="0.25">
      <c r="D129" s="4"/>
      <c r="F129" s="72"/>
      <c r="G129" s="32"/>
      <c r="H129" s="32"/>
      <c r="I129" s="32"/>
      <c r="J129" s="32"/>
      <c r="K129" s="32"/>
    </row>
    <row r="130" spans="3:11" outlineLevel="1" x14ac:dyDescent="0.25">
      <c r="C130" s="9" t="s">
        <v>70</v>
      </c>
      <c r="D130" s="7" t="s">
        <v>13</v>
      </c>
      <c r="F130" s="32">
        <f>SUM(F121:K124)</f>
        <v>14905377.223784242</v>
      </c>
      <c r="G130" s="32"/>
      <c r="H130" s="32"/>
      <c r="I130" s="32"/>
      <c r="J130" s="32"/>
      <c r="K130" s="32"/>
    </row>
    <row r="131" spans="3:11" outlineLevel="1" x14ac:dyDescent="0.25">
      <c r="C131" s="9" t="s">
        <v>73</v>
      </c>
      <c r="D131" s="7" t="s">
        <v>13</v>
      </c>
      <c r="F131" s="32">
        <f>-SUM(F125:K125)</f>
        <v>9891750</v>
      </c>
      <c r="G131" s="32"/>
      <c r="H131" s="32"/>
      <c r="I131" s="32"/>
      <c r="J131" s="32"/>
      <c r="K131" s="32"/>
    </row>
    <row r="132" spans="3:11" outlineLevel="1" x14ac:dyDescent="0.25">
      <c r="C132" s="9" t="s">
        <v>46</v>
      </c>
      <c r="D132" s="7" t="s">
        <v>39</v>
      </c>
      <c r="F132" s="73">
        <f>+F130/F131</f>
        <v>1.5068493667737499</v>
      </c>
      <c r="G132" s="32"/>
      <c r="H132" s="32"/>
      <c r="I132" s="32"/>
      <c r="J132" s="32"/>
      <c r="K132" s="32"/>
    </row>
    <row r="133" spans="3:11" outlineLevel="1" x14ac:dyDescent="0.25">
      <c r="D133" s="4"/>
      <c r="F133" s="32"/>
      <c r="G133" s="32"/>
      <c r="H133" s="32"/>
      <c r="I133" s="32"/>
      <c r="J133" s="32"/>
      <c r="K133" s="32"/>
    </row>
    <row r="134" spans="3:11" outlineLevel="1" x14ac:dyDescent="0.25">
      <c r="C134" s="2" t="s">
        <v>67</v>
      </c>
      <c r="D134" s="4"/>
      <c r="E134" s="32"/>
      <c r="F134" s="32"/>
      <c r="G134" s="32"/>
      <c r="H134" s="32"/>
      <c r="I134" s="32"/>
      <c r="J134" s="32"/>
      <c r="K134" s="32"/>
    </row>
    <row r="135" spans="3:11" outlineLevel="1" x14ac:dyDescent="0.25">
      <c r="C135" s="9" t="s">
        <v>121</v>
      </c>
      <c r="D135" s="7" t="s">
        <v>13</v>
      </c>
      <c r="E135" s="32"/>
      <c r="F135" s="33"/>
      <c r="G135" s="33">
        <f>+G121</f>
        <v>0</v>
      </c>
      <c r="H135" s="33">
        <f t="shared" ref="H135:K135" si="38">+H121</f>
        <v>0</v>
      </c>
      <c r="I135" s="33">
        <f t="shared" si="38"/>
        <v>0</v>
      </c>
      <c r="J135" s="33">
        <f t="shared" si="38"/>
        <v>0</v>
      </c>
      <c r="K135" s="33">
        <f t="shared" si="38"/>
        <v>12002241.915567398</v>
      </c>
    </row>
    <row r="136" spans="3:11" outlineLevel="1" x14ac:dyDescent="0.25">
      <c r="C136" s="9" t="s">
        <v>125</v>
      </c>
      <c r="D136" s="7" t="s">
        <v>13</v>
      </c>
      <c r="E136" s="32"/>
      <c r="F136" s="33"/>
      <c r="G136" s="33">
        <f t="shared" ref="G136:K136" si="39">+G122</f>
        <v>0</v>
      </c>
      <c r="H136" s="33">
        <f t="shared" si="39"/>
        <v>0</v>
      </c>
      <c r="I136" s="33">
        <f t="shared" si="39"/>
        <v>0</v>
      </c>
      <c r="J136" s="33">
        <f t="shared" si="39"/>
        <v>0</v>
      </c>
      <c r="K136" s="33">
        <f t="shared" si="39"/>
        <v>28210.874801700003</v>
      </c>
    </row>
    <row r="137" spans="3:11" outlineLevel="1" x14ac:dyDescent="0.25">
      <c r="C137" s="9" t="s">
        <v>122</v>
      </c>
      <c r="D137" s="7" t="s">
        <v>13</v>
      </c>
      <c r="E137" s="32"/>
      <c r="F137" s="33"/>
      <c r="G137" s="33">
        <f t="shared" ref="G137:K137" si="40">+G123</f>
        <v>0</v>
      </c>
      <c r="H137" s="33">
        <f t="shared" si="40"/>
        <v>0</v>
      </c>
      <c r="I137" s="33">
        <f t="shared" si="40"/>
        <v>0</v>
      </c>
      <c r="J137" s="33">
        <f t="shared" si="40"/>
        <v>0</v>
      </c>
      <c r="K137" s="33">
        <f t="shared" si="40"/>
        <v>-240044.83831134796</v>
      </c>
    </row>
    <row r="138" spans="3:11" outlineLevel="1" x14ac:dyDescent="0.25">
      <c r="C138" s="9" t="s">
        <v>126</v>
      </c>
      <c r="D138" s="7" t="s">
        <v>13</v>
      </c>
      <c r="E138" s="32"/>
      <c r="F138" s="33"/>
      <c r="G138" s="33">
        <f>+G105</f>
        <v>153658.95131636964</v>
      </c>
      <c r="H138" s="33">
        <f t="shared" ref="H138:K138" si="41">+H105</f>
        <v>156120.74565043958</v>
      </c>
      <c r="I138" s="33">
        <f t="shared" si="41"/>
        <v>189043.01470152062</v>
      </c>
      <c r="J138" s="33">
        <f t="shared" si="41"/>
        <v>264417.1215471499</v>
      </c>
      <c r="K138" s="33">
        <f t="shared" si="41"/>
        <v>285126.66030447598</v>
      </c>
    </row>
    <row r="139" spans="3:11" outlineLevel="1" x14ac:dyDescent="0.25">
      <c r="C139" s="9" t="s">
        <v>127</v>
      </c>
      <c r="D139" s="7" t="s">
        <v>13</v>
      </c>
      <c r="E139" s="32"/>
      <c r="F139" s="33"/>
      <c r="G139" s="91">
        <v>0</v>
      </c>
      <c r="H139" s="91">
        <v>0</v>
      </c>
      <c r="I139" s="91">
        <v>0</v>
      </c>
      <c r="J139" s="91">
        <v>0</v>
      </c>
      <c r="K139" s="33">
        <f>-K107</f>
        <v>-5825316.9992154036</v>
      </c>
    </row>
    <row r="140" spans="3:11" outlineLevel="1" x14ac:dyDescent="0.25">
      <c r="C140" s="9" t="s">
        <v>128</v>
      </c>
      <c r="D140" s="52" t="s">
        <v>13</v>
      </c>
      <c r="E140" s="32"/>
      <c r="F140" s="32">
        <f>-E36</f>
        <v>-3601537.5</v>
      </c>
      <c r="G140" s="63">
        <v>0</v>
      </c>
      <c r="H140" s="63">
        <v>0</v>
      </c>
      <c r="I140" s="63">
        <v>0</v>
      </c>
      <c r="J140" s="63">
        <v>0</v>
      </c>
      <c r="K140" s="63">
        <v>0</v>
      </c>
    </row>
    <row r="141" spans="3:11" outlineLevel="1" x14ac:dyDescent="0.25">
      <c r="C141" s="53" t="s">
        <v>68</v>
      </c>
      <c r="D141" s="7" t="s">
        <v>13</v>
      </c>
      <c r="E141" s="51"/>
      <c r="F141" s="67">
        <f>SUM(F135:F140)</f>
        <v>-3601537.5</v>
      </c>
      <c r="G141" s="67">
        <f t="shared" ref="G141:K141" si="42">SUM(G135:G140)</f>
        <v>153658.95131636964</v>
      </c>
      <c r="H141" s="67">
        <f t="shared" si="42"/>
        <v>156120.74565043958</v>
      </c>
      <c r="I141" s="67">
        <f t="shared" si="42"/>
        <v>189043.01470152062</v>
      </c>
      <c r="J141" s="67">
        <f t="shared" si="42"/>
        <v>264417.1215471499</v>
      </c>
      <c r="K141" s="67">
        <f t="shared" si="42"/>
        <v>6250217.613146821</v>
      </c>
    </row>
    <row r="142" spans="3:11" outlineLevel="1" x14ac:dyDescent="0.25">
      <c r="D142" s="4"/>
      <c r="F142" s="31"/>
      <c r="G142" s="32"/>
      <c r="H142" s="32"/>
      <c r="I142" s="32"/>
      <c r="J142" s="32"/>
      <c r="K142" s="32"/>
    </row>
    <row r="143" spans="3:11" outlineLevel="1" x14ac:dyDescent="0.25">
      <c r="C143" s="68" t="s">
        <v>65</v>
      </c>
      <c r="D143" s="69" t="s">
        <v>7</v>
      </c>
      <c r="E143" s="70"/>
      <c r="F143" s="71">
        <f>IRR(F141:K141)</f>
        <v>0.15226547244046684</v>
      </c>
      <c r="G143" s="32"/>
      <c r="H143" s="32"/>
      <c r="I143" s="32"/>
      <c r="J143" s="32"/>
      <c r="K143" s="32"/>
    </row>
    <row r="144" spans="3:11" outlineLevel="1" x14ac:dyDescent="0.25">
      <c r="D144" s="4"/>
    </row>
    <row r="145" spans="3:6" outlineLevel="1" x14ac:dyDescent="0.25">
      <c r="C145" s="9" t="s">
        <v>71</v>
      </c>
      <c r="D145" s="7" t="s">
        <v>13</v>
      </c>
      <c r="F145" s="32">
        <f>SUM(F135:K139)</f>
        <v>7013457.4463623017</v>
      </c>
    </row>
    <row r="146" spans="3:6" outlineLevel="1" x14ac:dyDescent="0.25">
      <c r="C146" s="9" t="s">
        <v>45</v>
      </c>
      <c r="D146" s="7" t="s">
        <v>13</v>
      </c>
      <c r="F146" s="32">
        <f>-SUM(F140:K140)</f>
        <v>3601537.5</v>
      </c>
    </row>
    <row r="147" spans="3:6" outlineLevel="1" x14ac:dyDescent="0.25">
      <c r="C147" s="9" t="s">
        <v>46</v>
      </c>
      <c r="D147" s="7" t="s">
        <v>39</v>
      </c>
      <c r="F147" s="73">
        <f>+F145/F146</f>
        <v>1.9473509428576827</v>
      </c>
    </row>
  </sheetData>
  <pageMargins left="0.7" right="0.7" top="0.75" bottom="0.75" header="0.3" footer="0.3"/>
  <pageSetup scale="34" orientation="portrait" r:id="rId1"/>
  <rowBreaks count="3" manualBreakCount="3">
    <brk id="40" max="12" man="1"/>
    <brk id="69" max="12" man="1"/>
    <brk id="116" max="12" man="1"/>
  </rowBreaks>
  <ignoredErrors>
    <ignoredError sqref="E21:E22 K20:K22 G56:L56 K10 K18 E1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Pro-Forma</vt:lpstr>
      <vt:lpstr>Apt_Units</vt:lpstr>
      <vt:lpstr>Entry_Cap_Rate</vt:lpstr>
      <vt:lpstr>Entry_Fee_Pct</vt:lpstr>
      <vt:lpstr>Entry_Price</vt:lpstr>
      <vt:lpstr>Exit_Cap_Rate</vt:lpstr>
      <vt:lpstr>Exit_Fee_Pct</vt:lpstr>
      <vt:lpstr>Exit_Price</vt:lpstr>
      <vt:lpstr>Gross_SF</vt:lpstr>
      <vt:lpstr>Loan_Amort_Period</vt:lpstr>
      <vt:lpstr>Loan_Fees</vt:lpstr>
      <vt:lpstr>Loan_Interest_Rate</vt:lpstr>
      <vt:lpstr>Loan_Term</vt:lpstr>
      <vt:lpstr>LTV</vt:lpstr>
      <vt:lpstr>Months</vt:lpstr>
      <vt:lpstr>Parking_Spots</vt:lpstr>
      <vt:lpstr>'Pro-Forma'!Print_Area</vt:lpstr>
      <vt:lpstr>Prop_Mgmt_Fee</vt:lpstr>
      <vt:lpstr>Property_Name</vt:lpstr>
      <vt:lpstr>RE_Taxes_Pct_Property_Value</vt:lpstr>
      <vt:lpstr>Rentable_SF</vt:lpstr>
      <vt:lpstr>RSF_per_Unit</vt:lpstr>
      <vt:lpstr>Sale_Date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BIWS</dc:creator>
  <cp:lastModifiedBy>BIWS</cp:lastModifiedBy>
  <dcterms:created xsi:type="dcterms:W3CDTF">2015-04-15T02:33:42Z</dcterms:created>
  <dcterms:modified xsi:type="dcterms:W3CDTF">2019-04-03T14:52:41Z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gmt_Fee" linkTarget="Prop_Mgmt_Fee">
    <vt:r8>0.03</vt:r8>
  </property>
</Properties>
</file>