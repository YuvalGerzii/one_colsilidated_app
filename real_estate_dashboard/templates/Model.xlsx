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netorgft15071208-my.sharepoint.com/personal/jwolf_fbxpartners_com/Documents/"/>
    </mc:Choice>
  </mc:AlternateContent>
  <xr:revisionPtr revIDLastSave="0" documentId="8_{655970A6-9BEE-451D-A702-AE960FDB1837}" xr6:coauthVersionLast="47" xr6:coauthVersionMax="47" xr10:uidLastSave="{00000000-0000-0000-0000-000000000000}"/>
  <bookViews>
    <workbookView xWindow="14303" yWindow="-12683" windowWidth="38595" windowHeight="21076" xr2:uid="{ADACF361-6124-B44F-A1CB-B4B73E1E04D8}"/>
  </bookViews>
  <sheets>
    <sheet name="Stud-Multi Quick Mod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G9" i="1"/>
  <c r="H9" i="1" s="1"/>
  <c r="I9" i="1" s="1"/>
  <c r="J9" i="1" s="1"/>
  <c r="K9" i="1" s="1"/>
  <c r="L9" i="1" s="1"/>
  <c r="M9" i="1" s="1"/>
  <c r="N9" i="1" s="1"/>
  <c r="O9" i="1" s="1"/>
  <c r="G15" i="1"/>
  <c r="H15" i="1" s="1"/>
  <c r="I15" i="1" s="1"/>
  <c r="J15" i="1" s="1"/>
  <c r="K15" i="1" s="1"/>
  <c r="L15" i="1" s="1"/>
  <c r="M15" i="1" s="1"/>
  <c r="N15" i="1" s="1"/>
  <c r="O15" i="1" s="1"/>
  <c r="G14" i="1"/>
  <c r="H14" i="1" s="1"/>
  <c r="I14" i="1" s="1"/>
  <c r="B24" i="1"/>
  <c r="F5" i="1" s="1"/>
  <c r="B30" i="1" l="1"/>
  <c r="G12" i="1"/>
  <c r="H12" i="1" s="1"/>
  <c r="I12" i="1" s="1"/>
  <c r="J12" i="1" s="1"/>
  <c r="K12" i="1" s="1"/>
  <c r="L12" i="1" s="1"/>
  <c r="M12" i="1" s="1"/>
  <c r="N12" i="1" s="1"/>
  <c r="O12" i="1" s="1"/>
  <c r="G5" i="1"/>
  <c r="J14" i="1"/>
  <c r="K14" i="1" l="1"/>
  <c r="L14" i="1" l="1"/>
  <c r="M14" i="1" l="1"/>
  <c r="N14" i="1" l="1"/>
  <c r="O14" i="1" l="1"/>
  <c r="A22" i="1" l="1"/>
  <c r="A21" i="1"/>
  <c r="A20" i="1"/>
  <c r="A19" i="1"/>
  <c r="F6" i="1" l="1"/>
  <c r="F7" i="1" s="1"/>
  <c r="F13" i="1" l="1"/>
  <c r="H5" i="1"/>
  <c r="G6" i="1"/>
  <c r="G7" i="1" s="1"/>
  <c r="F16" i="1" l="1"/>
  <c r="F18" i="1" s="1"/>
  <c r="B5" i="1" s="1"/>
  <c r="G13" i="1"/>
  <c r="I5" i="1"/>
  <c r="H6" i="1"/>
  <c r="H7" i="1" s="1"/>
  <c r="H13" i="1" l="1"/>
  <c r="G16" i="1"/>
  <c r="G18" i="1" s="1"/>
  <c r="J5" i="1"/>
  <c r="I6" i="1"/>
  <c r="I7" i="1" s="1"/>
  <c r="I13" i="1" l="1"/>
  <c r="H16" i="1"/>
  <c r="H18" i="1" s="1"/>
  <c r="K5" i="1"/>
  <c r="J6" i="1"/>
  <c r="J7" i="1" s="1"/>
  <c r="J13" i="1" l="1"/>
  <c r="I16" i="1"/>
  <c r="I18" i="1" s="1"/>
  <c r="L5" i="1"/>
  <c r="K6" i="1"/>
  <c r="K7" i="1" s="1"/>
  <c r="K13" i="1" l="1"/>
  <c r="J16" i="1"/>
  <c r="J18" i="1" s="1"/>
  <c r="M5" i="1"/>
  <c r="L6" i="1"/>
  <c r="L7" i="1" s="1"/>
  <c r="L13" i="1" l="1"/>
  <c r="K16" i="1"/>
  <c r="K18" i="1" s="1"/>
  <c r="N5" i="1"/>
  <c r="M6" i="1"/>
  <c r="M7" i="1" s="1"/>
  <c r="M13" i="1" l="1"/>
  <c r="L16" i="1"/>
  <c r="L18" i="1" s="1"/>
  <c r="O5" i="1"/>
  <c r="N6" i="1"/>
  <c r="N7" i="1" s="1"/>
  <c r="N13" i="1" l="1"/>
  <c r="M16" i="1"/>
  <c r="M18" i="1" s="1"/>
  <c r="O6" i="1"/>
  <c r="O7" i="1" s="1"/>
  <c r="B27" i="1"/>
  <c r="E23" i="1" s="1"/>
  <c r="E25" i="1" s="1"/>
  <c r="O13" i="1" l="1"/>
  <c r="O16" i="1" s="1"/>
  <c r="O18" i="1" s="1"/>
  <c r="B37" i="1" s="1"/>
  <c r="N16" i="1"/>
  <c r="N18" i="1" s="1"/>
  <c r="O23" i="1"/>
  <c r="I19" i="1"/>
  <c r="I20" i="1" s="1"/>
  <c r="B33" i="1"/>
  <c r="O19" i="1"/>
  <c r="K19" i="1"/>
  <c r="K20" i="1" s="1"/>
  <c r="K25" i="1" s="1"/>
  <c r="J19" i="1"/>
  <c r="J20" i="1" s="1"/>
  <c r="J25" i="1" s="1"/>
  <c r="L19" i="1"/>
  <c r="L20" i="1" s="1"/>
  <c r="L25" i="1" s="1"/>
  <c r="H19" i="1"/>
  <c r="H20" i="1" s="1"/>
  <c r="H25" i="1" s="1"/>
  <c r="M19" i="1"/>
  <c r="M20" i="1" s="1"/>
  <c r="M25" i="1" s="1"/>
  <c r="G19" i="1"/>
  <c r="G20" i="1" s="1"/>
  <c r="G25" i="1" s="1"/>
  <c r="F19" i="1"/>
  <c r="N19" i="1"/>
  <c r="O24" i="1" l="1"/>
  <c r="B38" i="1"/>
  <c r="O20" i="1"/>
  <c r="N20" i="1"/>
  <c r="N25" i="1" s="1"/>
  <c r="B40" i="1"/>
  <c r="I25" i="1"/>
  <c r="F20" i="1"/>
  <c r="B32" i="1"/>
  <c r="O25" i="1" l="1"/>
  <c r="F25" i="1"/>
  <c r="B41" i="1" s="1"/>
  <c r="B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tc={AEEDE6CC-B78D-D64B-A6D2-F64DC06092E0}</author>
  </authors>
  <commentList>
    <comment ref="A9" authorId="0" shapeId="0" xr:uid="{AEEDE6CC-B78D-D64B-A6D2-F64DC06092E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Application fees, late fees, pet fees,admin fee</t>
      </text>
    </comment>
  </commentList>
</comments>
</file>

<file path=xl/sharedStrings.xml><?xml version="1.0" encoding="utf-8"?>
<sst xmlns="http://schemas.openxmlformats.org/spreadsheetml/2006/main" count="58" uniqueCount="54">
  <si>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</si>
  <si>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</si>
  <si>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</si>
  <si>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</si>
  <si>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</si>
  <si>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</si>
  <si>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</si>
  <si>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</si>
  <si>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</si>
  <si>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</si>
  <si>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</si>
  <si>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Purchase price</t>
  </si>
  <si>
    <t>Rental Income</t>
  </si>
  <si>
    <t>Entry Cap</t>
  </si>
  <si>
    <t>Rent Growth</t>
  </si>
  <si>
    <t>Fees</t>
  </si>
  <si>
    <t>Expense Growth</t>
  </si>
  <si>
    <t>Total Rental Income</t>
  </si>
  <si>
    <t>Insurance growth</t>
  </si>
  <si>
    <t>RE Taxes</t>
  </si>
  <si>
    <t>RE Tax Growth</t>
  </si>
  <si>
    <t>Expenses</t>
  </si>
  <si>
    <t>Unit mix</t>
  </si>
  <si>
    <t>R&amp;M</t>
  </si>
  <si>
    <t>Studio</t>
  </si>
  <si>
    <t>Property Management</t>
  </si>
  <si>
    <t>1 Bed, 1 bath</t>
  </si>
  <si>
    <t>Insurance</t>
  </si>
  <si>
    <t>2 Bed, 1 bath</t>
  </si>
  <si>
    <t>Utilities</t>
  </si>
  <si>
    <t>3 Bed, 2 bath</t>
  </si>
  <si>
    <t>Total Expenses</t>
  </si>
  <si>
    <t>Rent</t>
  </si>
  <si>
    <t>NOI</t>
  </si>
  <si>
    <t>Interest Expense</t>
  </si>
  <si>
    <t>Cash Flow</t>
  </si>
  <si>
    <t>Acquisition</t>
  </si>
  <si>
    <t>Debt</t>
  </si>
  <si>
    <t>Total Monthly Rent</t>
  </si>
  <si>
    <t>Sale Proceeds</t>
  </si>
  <si>
    <t>Total CF</t>
  </si>
  <si>
    <t>Loan</t>
  </si>
  <si>
    <t xml:space="preserve">   SOFR</t>
  </si>
  <si>
    <t xml:space="preserve">   Spread</t>
  </si>
  <si>
    <t xml:space="preserve">Interest </t>
  </si>
  <si>
    <t>LTV</t>
  </si>
  <si>
    <t>DSCR</t>
  </si>
  <si>
    <t>Equity</t>
  </si>
  <si>
    <t>Exit cap</t>
  </si>
  <si>
    <t>Sale Price</t>
  </si>
  <si>
    <t>Equity Proceeds from sale</t>
  </si>
  <si>
    <t>MOIC</t>
  </si>
  <si>
    <t>COC</t>
  </si>
  <si>
    <t>Levered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</si>
</sst>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  <numFmt numFmtId="167" formatCode="&quot;$&quot;#,##0.00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43" fontId="0" fillId="0" borderId="0" xfId="1" applyFont="1"/>
    <xf numFmtId="43" fontId="0" fillId="0" borderId="1" xfId="1" applyFont="1" applyBorder="1"/>
    <xf numFmtId="43" fontId="5" fillId="0" borderId="0" xfId="1" applyFont="1"/>
    <xf numFmtId="43" fontId="0" fillId="0" borderId="0" xfId="0" applyNumberFormat="1"/>
    <xf numFmtId="0" fontId="6" fillId="0" borderId="0" xfId="0" applyFont="1"/>
    <xf numFmtId="43" fontId="0" fillId="0" borderId="1" xfId="0" applyNumberFormat="1" applyBorder="1"/>
    <xf numFmtId="43" fontId="0" fillId="0" borderId="0" xfId="1" applyFont="1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164" fontId="5" fillId="0" borderId="5" xfId="1" applyNumberFormat="1" applyFont="1" applyBorder="1"/>
    <xf numFmtId="0" fontId="0" fillId="0" borderId="5" xfId="0" applyBorder="1"/>
    <xf numFmtId="0" fontId="3" fillId="0" borderId="4" xfId="0" applyFont="1" applyBorder="1"/>
    <xf numFmtId="43" fontId="5" fillId="0" borderId="5" xfId="1" applyFont="1" applyBorder="1"/>
    <xf numFmtId="0" fontId="0" fillId="0" borderId="6" xfId="0" applyBorder="1"/>
    <xf numFmtId="0" fontId="0" fillId="0" borderId="2" xfId="0" applyBorder="1"/>
    <xf numFmtId="43" fontId="5" fillId="0" borderId="3" xfId="1" applyFont="1" applyBorder="1"/>
    <xf numFmtId="43" fontId="1" fillId="0" borderId="5" xfId="1" applyFont="1" applyBorder="1"/>
    <xf numFmtId="9" fontId="5" fillId="0" borderId="5" xfId="2" applyFont="1" applyBorder="1"/>
    <xf numFmtId="0" fontId="3" fillId="0" borderId="6" xfId="0" applyFont="1" applyBorder="1"/>
    <xf numFmtId="43" fontId="1" fillId="0" borderId="7" xfId="1" applyFont="1" applyBorder="1"/>
    <xf numFmtId="43" fontId="1" fillId="0" borderId="3" xfId="1" applyFont="1" applyBorder="1"/>
    <xf numFmtId="165" fontId="5" fillId="0" borderId="5" xfId="2" applyNumberFormat="1" applyFont="1" applyBorder="1"/>
    <xf numFmtId="43" fontId="0" fillId="0" borderId="5" xfId="1" applyFont="1" applyBorder="1"/>
    <xf numFmtId="43" fontId="0" fillId="0" borderId="7" xfId="1" applyFont="1" applyBorder="1"/>
    <xf numFmtId="0" fontId="5" fillId="0" borderId="3" xfId="0" applyFont="1" applyBorder="1"/>
    <xf numFmtId="0" fontId="3" fillId="2" borderId="0" xfId="0" applyFont="1" applyFill="1"/>
    <xf numFmtId="0" fontId="0" fillId="2" borderId="0" xfId="0" applyFill="1"/>
    <xf numFmtId="0" fontId="0" fillId="2" borderId="1" xfId="0" applyFill="1" applyBorder="1"/>
    <xf numFmtId="0" fontId="4" fillId="2" borderId="0" xfId="0" applyFont="1" applyFill="1"/>
    <xf numFmtId="0" fontId="4" fillId="2" borderId="1" xfId="0" applyFont="1" applyFill="1" applyBorder="1"/>
    <xf numFmtId="0" fontId="6" fillId="2" borderId="1" xfId="0" applyFont="1" applyFill="1" applyBorder="1"/>
    <xf numFmtId="0" fontId="6" fillId="2" borderId="0" xfId="0" applyFont="1" applyFill="1" applyAlignment="1">
      <alignment horizontal="center"/>
    </xf>
    <xf numFmtId="0" fontId="5" fillId="3" borderId="8" xfId="0" applyFont="1" applyFill="1" applyBorder="1" applyAlignment="1">
      <alignment horizontal="center"/>
    </xf>
    <xf numFmtId="2" fontId="0" fillId="0" borderId="5" xfId="1" applyNumberFormat="1" applyFont="1" applyBorder="1"/>
    <xf numFmtId="2" fontId="0" fillId="0" borderId="5" xfId="0" applyNumberFormat="1" applyBorder="1"/>
    <xf numFmtId="166" fontId="0" fillId="0" borderId="5" xfId="0" applyNumberFormat="1" applyBorder="1"/>
    <xf numFmtId="10" fontId="0" fillId="0" borderId="7" xfId="0" applyNumberFormat="1" applyBorder="1"/>
    <xf numFmtId="10" fontId="5" fillId="0" borderId="5" xfId="1" applyNumberFormat="1" applyFont="1" applyBorder="1"/>
    <xf numFmtId="9" fontId="5" fillId="0" borderId="7" xfId="1" applyNumberFormat="1" applyFont="1" applyBorder="1"/>
    <xf numFmtId="167" fontId="0" fillId="0" borderId="0" xfId="0" applyNumberFormat="1"/>
    <xf numFmtId="0" fontId="5" fillId="3" borderId="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ke Wolf" id="{E7602A38-8805-4341-9C5B-682FA428EB5C}" userId="92f38afedb89ab5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4-09-16T23:44:42.41" personId="{E7602A38-8805-4341-9C5B-682FA428EB5C}" id="{AEEDE6CC-B78D-D64B-A6D2-F64DC06092E0}">
    <text>Application fees, late fees, pet fees,admin fee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6A5F-ADC2-3449-9C9C-F343262FB125}">
  <dimension ref="A3:O42"/>
  <sheetViews>
    <sheetView tabSelected="1" topLeftCell="A8" zoomScale="124" zoomScaleNormal="87" workbookViewId="0">
      <selection activeCell="H13" sqref="H13"/>
    </sheetView>
  </sheetViews>
  <sheetFormatPr defaultColWidth="11" defaultRowHeight="15.95"/>
  <cols>
    <col min="1" max="1" width="21.75" bestFit="1" customWidth="1"/>
    <col min="2" max="2" width="13.75" bestFit="1" customWidth="1"/>
    <col min="3" max="3" width="7.625" customWidth="1"/>
    <col min="4" max="4" width="18.75" bestFit="1" customWidth="1"/>
    <col min="5" max="5" width="14.375" bestFit="1" customWidth="1"/>
    <col min="6" max="6" width="13.375" bestFit="1" customWidth="1"/>
    <col min="7" max="8" width="11.125" bestFit="1" customWidth="1"/>
    <col min="9" max="14" width="12.625" bestFit="1" customWidth="1"/>
    <col min="15" max="15" width="13.75" bestFit="1" customWidth="1"/>
  </cols>
  <sheetData>
    <row r="3" spans="1:15">
      <c r="E3" s="34" t="s">
        <v>0</v>
      </c>
      <c r="F3" s="34" t="s">
        <v>1</v>
      </c>
      <c r="G3" s="34" t="s">
        <v>2</v>
      </c>
      <c r="H3" s="34" t="s">
        <v>3</v>
      </c>
      <c r="I3" s="34" t="s">
        <v>4</v>
      </c>
      <c r="J3" s="34" t="s">
        <v>5</v>
      </c>
      <c r="K3" s="34" t="s">
        <v>6</v>
      </c>
      <c r="L3" s="34" t="s">
        <v>7</v>
      </c>
      <c r="M3" s="34" t="s">
        <v>8</v>
      </c>
      <c r="N3" s="34" t="s">
        <v>9</v>
      </c>
      <c r="O3" s="34" t="s">
        <v>10</v>
      </c>
    </row>
    <row r="4" spans="1:15">
      <c r="A4" s="17" t="s">
        <v>11</v>
      </c>
      <c r="B4" s="18">
        <v>12000000</v>
      </c>
      <c r="D4" s="28" t="s">
        <v>12</v>
      </c>
    </row>
    <row r="5" spans="1:15">
      <c r="A5" s="11" t="s">
        <v>13</v>
      </c>
      <c r="B5" s="19">
        <f>F18/B4</f>
        <v>5.6473231999999998E-2</v>
      </c>
      <c r="D5" s="29" t="s">
        <v>12</v>
      </c>
      <c r="F5" s="2">
        <f>B24*12</f>
        <v>853848</v>
      </c>
      <c r="G5" s="2">
        <f t="shared" ref="G5:O5" si="0">F$5*(1+$B$6)</f>
        <v>896540.4</v>
      </c>
      <c r="H5" s="2">
        <f t="shared" si="0"/>
        <v>941367.42</v>
      </c>
      <c r="I5" s="2">
        <f t="shared" si="0"/>
        <v>988435.79100000008</v>
      </c>
      <c r="J5" s="2">
        <f t="shared" si="0"/>
        <v>1037857.5805500002</v>
      </c>
      <c r="K5" s="2">
        <f t="shared" si="0"/>
        <v>1089750.4595775004</v>
      </c>
      <c r="L5" s="2">
        <f t="shared" si="0"/>
        <v>1144237.9825563754</v>
      </c>
      <c r="M5" s="2">
        <f t="shared" si="0"/>
        <v>1201449.8816841943</v>
      </c>
      <c r="N5" s="2">
        <f t="shared" si="0"/>
        <v>1261522.375768404</v>
      </c>
      <c r="O5" s="2">
        <f t="shared" si="0"/>
        <v>1324598.4945568242</v>
      </c>
    </row>
    <row r="6" spans="1:15">
      <c r="A6" s="11" t="s">
        <v>14</v>
      </c>
      <c r="B6" s="20">
        <v>0.05</v>
      </c>
      <c r="D6" s="29" t="s">
        <v>15</v>
      </c>
      <c r="F6" s="2">
        <f t="shared" ref="F6:O6" si="1">F$5*$B$9</f>
        <v>42692.4</v>
      </c>
      <c r="G6" s="2">
        <f t="shared" si="1"/>
        <v>44827.020000000004</v>
      </c>
      <c r="H6" s="2">
        <f t="shared" si="1"/>
        <v>47068.371000000006</v>
      </c>
      <c r="I6" s="2">
        <f t="shared" si="1"/>
        <v>49421.789550000009</v>
      </c>
      <c r="J6" s="2">
        <f t="shared" si="1"/>
        <v>51892.879027500014</v>
      </c>
      <c r="K6" s="2">
        <f t="shared" si="1"/>
        <v>54487.522978875022</v>
      </c>
      <c r="L6" s="2">
        <f t="shared" si="1"/>
        <v>57211.899127818775</v>
      </c>
      <c r="M6" s="2">
        <f t="shared" si="1"/>
        <v>60072.49408420972</v>
      </c>
      <c r="N6" s="2">
        <f t="shared" si="1"/>
        <v>63076.118788420201</v>
      </c>
      <c r="O6" s="2">
        <f t="shared" si="1"/>
        <v>66229.924727841208</v>
      </c>
    </row>
    <row r="7" spans="1:15">
      <c r="A7" s="11" t="s">
        <v>16</v>
      </c>
      <c r="B7" s="24">
        <v>0.03</v>
      </c>
      <c r="D7" s="30" t="s">
        <v>17</v>
      </c>
      <c r="E7" s="1"/>
      <c r="F7" s="3">
        <f t="shared" ref="F7:O7" si="2">SUM(F$5:F$6)</f>
        <v>896540.4</v>
      </c>
      <c r="G7" s="3">
        <f t="shared" si="2"/>
        <v>941367.42</v>
      </c>
      <c r="H7" s="3">
        <f t="shared" si="2"/>
        <v>988435.79100000008</v>
      </c>
      <c r="I7" s="3">
        <f t="shared" si="2"/>
        <v>1037857.5805500001</v>
      </c>
      <c r="J7" s="3">
        <f t="shared" si="2"/>
        <v>1089750.4595775001</v>
      </c>
      <c r="K7" s="3">
        <f t="shared" si="2"/>
        <v>1144237.9825563754</v>
      </c>
      <c r="L7" s="3">
        <f t="shared" si="2"/>
        <v>1201449.8816841943</v>
      </c>
      <c r="M7" s="3">
        <f t="shared" si="2"/>
        <v>1261522.375768404</v>
      </c>
      <c r="N7" s="3">
        <f t="shared" si="2"/>
        <v>1324598.4945568242</v>
      </c>
      <c r="O7" s="3">
        <f t="shared" si="2"/>
        <v>1390828.4192846655</v>
      </c>
    </row>
    <row r="8" spans="1:15">
      <c r="A8" s="11" t="s">
        <v>18</v>
      </c>
      <c r="B8" s="20">
        <v>0.03</v>
      </c>
      <c r="D8" s="29"/>
    </row>
    <row r="9" spans="1:15">
      <c r="A9" s="11" t="s">
        <v>15</v>
      </c>
      <c r="B9" s="20">
        <v>0.05</v>
      </c>
      <c r="C9" s="6"/>
      <c r="D9" s="28" t="s">
        <v>19</v>
      </c>
      <c r="F9" s="4">
        <v>105000</v>
      </c>
      <c r="G9" s="2">
        <f>F$9*(1+$B$10)</f>
        <v>105000</v>
      </c>
      <c r="H9" s="2">
        <f t="shared" ref="H9:O9" si="3">G$9*(1+$B$10)</f>
        <v>105000</v>
      </c>
      <c r="I9" s="2">
        <f t="shared" si="3"/>
        <v>105000</v>
      </c>
      <c r="J9" s="2">
        <f t="shared" si="3"/>
        <v>105000</v>
      </c>
      <c r="K9" s="2">
        <f t="shared" si="3"/>
        <v>105000</v>
      </c>
      <c r="L9" s="2">
        <f t="shared" si="3"/>
        <v>105000</v>
      </c>
      <c r="M9" s="2">
        <f t="shared" si="3"/>
        <v>105000</v>
      </c>
      <c r="N9" s="2">
        <f t="shared" si="3"/>
        <v>105000</v>
      </c>
      <c r="O9" s="2">
        <f t="shared" si="3"/>
        <v>105000</v>
      </c>
    </row>
    <row r="10" spans="1:15">
      <c r="A10" s="16" t="s">
        <v>20</v>
      </c>
      <c r="B10" s="41">
        <v>0</v>
      </c>
      <c r="D10" s="29"/>
    </row>
    <row r="11" spans="1:15">
      <c r="D11" s="28" t="s">
        <v>21</v>
      </c>
    </row>
    <row r="12" spans="1:15">
      <c r="A12" s="9" t="s">
        <v>22</v>
      </c>
      <c r="B12" s="10"/>
      <c r="D12" s="29" t="s">
        <v>23</v>
      </c>
      <c r="F12" s="4">
        <v>16000</v>
      </c>
      <c r="G12" s="2">
        <f t="shared" ref="G12:O12" si="4">F$12*(1+$B$7)</f>
        <v>16480</v>
      </c>
      <c r="H12" s="2">
        <f t="shared" si="4"/>
        <v>16974.400000000001</v>
      </c>
      <c r="I12" s="2">
        <f t="shared" si="4"/>
        <v>17483.632000000001</v>
      </c>
      <c r="J12" s="2">
        <f t="shared" si="4"/>
        <v>18008.140960000001</v>
      </c>
      <c r="K12" s="2">
        <f t="shared" si="4"/>
        <v>18548.385188800003</v>
      </c>
      <c r="L12" s="2">
        <f t="shared" si="4"/>
        <v>19104.836744464003</v>
      </c>
      <c r="M12" s="2">
        <f t="shared" si="4"/>
        <v>19677.981846797924</v>
      </c>
      <c r="N12" s="2">
        <f t="shared" si="4"/>
        <v>20268.321302201861</v>
      </c>
      <c r="O12" s="2">
        <f t="shared" si="4"/>
        <v>20876.370941267916</v>
      </c>
    </row>
    <row r="13" spans="1:15">
      <c r="A13" s="11" t="s">
        <v>24</v>
      </c>
      <c r="B13" s="12">
        <v>0</v>
      </c>
      <c r="D13" s="31" t="s">
        <v>25</v>
      </c>
      <c r="F13" s="4">
        <f>F7*0.04</f>
        <v>35861.616000000002</v>
      </c>
      <c r="G13" s="2">
        <f t="shared" ref="G13:O13" si="5">F$13*(1+$B$7)</f>
        <v>36937.464480000002</v>
      </c>
      <c r="H13" s="2">
        <f t="shared" si="5"/>
        <v>38045.588414400001</v>
      </c>
      <c r="I13" s="2">
        <f t="shared" si="5"/>
        <v>39186.956066832005</v>
      </c>
      <c r="J13" s="2">
        <f t="shared" si="5"/>
        <v>40362.564748836965</v>
      </c>
      <c r="K13" s="2">
        <f t="shared" si="5"/>
        <v>41573.441691302076</v>
      </c>
      <c r="L13" s="2">
        <f t="shared" si="5"/>
        <v>42820.644942041137</v>
      </c>
      <c r="M13" s="2">
        <f t="shared" si="5"/>
        <v>44105.264290302373</v>
      </c>
      <c r="N13" s="2">
        <f t="shared" si="5"/>
        <v>45428.422219011445</v>
      </c>
      <c r="O13" s="2">
        <f t="shared" si="5"/>
        <v>46791.274885581792</v>
      </c>
    </row>
    <row r="14" spans="1:15">
      <c r="A14" s="11" t="s">
        <v>26</v>
      </c>
      <c r="B14" s="12">
        <v>45</v>
      </c>
      <c r="D14" s="31" t="s">
        <v>27</v>
      </c>
      <c r="F14" s="4">
        <v>50000</v>
      </c>
      <c r="G14" s="2">
        <f t="shared" ref="G14:O14" si="6">F$14*(1+$B$8)</f>
        <v>51500</v>
      </c>
      <c r="H14" s="2">
        <f t="shared" si="6"/>
        <v>53045</v>
      </c>
      <c r="I14" s="2">
        <f t="shared" si="6"/>
        <v>54636.35</v>
      </c>
      <c r="J14" s="2">
        <f t="shared" si="6"/>
        <v>56275.440499999997</v>
      </c>
      <c r="K14" s="2">
        <f t="shared" si="6"/>
        <v>57963.703714999996</v>
      </c>
      <c r="L14" s="2">
        <f t="shared" si="6"/>
        <v>59702.614826450001</v>
      </c>
      <c r="M14" s="2">
        <f t="shared" si="6"/>
        <v>61493.693271243501</v>
      </c>
      <c r="N14" s="2">
        <f t="shared" si="6"/>
        <v>63338.504069380804</v>
      </c>
      <c r="O14" s="2">
        <f t="shared" si="6"/>
        <v>65238.659191462233</v>
      </c>
    </row>
    <row r="15" spans="1:15">
      <c r="A15" s="11" t="s">
        <v>28</v>
      </c>
      <c r="B15" s="12">
        <v>18</v>
      </c>
      <c r="D15" s="31" t="s">
        <v>29</v>
      </c>
      <c r="F15" s="4">
        <v>12000</v>
      </c>
      <c r="G15" s="2">
        <f t="shared" ref="G15:O15" si="7">F$15*(1+$B$7)</f>
        <v>12360</v>
      </c>
      <c r="H15" s="2">
        <f t="shared" si="7"/>
        <v>12730.800000000001</v>
      </c>
      <c r="I15" s="2">
        <f t="shared" si="7"/>
        <v>13112.724000000002</v>
      </c>
      <c r="J15" s="2">
        <f t="shared" si="7"/>
        <v>13506.105720000003</v>
      </c>
      <c r="K15" s="2">
        <f t="shared" si="7"/>
        <v>13911.288891600003</v>
      </c>
      <c r="L15" s="2">
        <f t="shared" si="7"/>
        <v>14328.627558348004</v>
      </c>
      <c r="M15" s="2">
        <f t="shared" si="7"/>
        <v>14758.486385098444</v>
      </c>
      <c r="N15" s="2">
        <f t="shared" si="7"/>
        <v>15201.240976651397</v>
      </c>
      <c r="O15" s="2">
        <f t="shared" si="7"/>
        <v>15657.278205950939</v>
      </c>
    </row>
    <row r="16" spans="1:15">
      <c r="A16" s="11" t="s">
        <v>30</v>
      </c>
      <c r="B16" s="12">
        <v>6</v>
      </c>
      <c r="D16" s="32" t="s">
        <v>31</v>
      </c>
      <c r="E16" s="1"/>
      <c r="F16" s="3">
        <f t="shared" ref="F16:O16" si="8">SUM(F$12:F$15)</f>
        <v>113861.61600000001</v>
      </c>
      <c r="G16" s="3">
        <f t="shared" si="8"/>
        <v>117277.46448</v>
      </c>
      <c r="H16" s="3">
        <f t="shared" si="8"/>
        <v>120795.7884144</v>
      </c>
      <c r="I16" s="3">
        <f t="shared" si="8"/>
        <v>124419.662066832</v>
      </c>
      <c r="J16" s="3">
        <f t="shared" si="8"/>
        <v>128152.25192883697</v>
      </c>
      <c r="K16" s="3">
        <f t="shared" si="8"/>
        <v>131996.81948670206</v>
      </c>
      <c r="L16" s="3">
        <f t="shared" si="8"/>
        <v>135956.72407130315</v>
      </c>
      <c r="M16" s="3">
        <f t="shared" si="8"/>
        <v>140035.42579344226</v>
      </c>
      <c r="N16" s="3">
        <f t="shared" si="8"/>
        <v>144236.48856724551</v>
      </c>
      <c r="O16" s="3">
        <f t="shared" si="8"/>
        <v>148563.5832242629</v>
      </c>
    </row>
    <row r="17" spans="1:15">
      <c r="A17" s="11"/>
      <c r="B17" s="13"/>
      <c r="D17" s="29"/>
    </row>
    <row r="18" spans="1:15">
      <c r="A18" s="14" t="s">
        <v>32</v>
      </c>
      <c r="B18" s="13"/>
      <c r="D18" s="29" t="s">
        <v>33</v>
      </c>
      <c r="F18" s="8">
        <f t="shared" ref="F18:O18" si="9">F$7-F$9-F$16</f>
        <v>677678.78399999999</v>
      </c>
      <c r="G18" s="8">
        <f t="shared" si="9"/>
        <v>719089.95552000008</v>
      </c>
      <c r="H18" s="8">
        <f t="shared" si="9"/>
        <v>762640.00258560013</v>
      </c>
      <c r="I18" s="8">
        <f t="shared" si="9"/>
        <v>808437.91848316812</v>
      </c>
      <c r="J18" s="8">
        <f t="shared" si="9"/>
        <v>856598.2076486632</v>
      </c>
      <c r="K18" s="8">
        <f t="shared" si="9"/>
        <v>907241.16306967335</v>
      </c>
      <c r="L18" s="8">
        <f t="shared" si="9"/>
        <v>960493.15761289117</v>
      </c>
      <c r="M18" s="8">
        <f t="shared" si="9"/>
        <v>1016486.9499749617</v>
      </c>
      <c r="N18" s="8">
        <f t="shared" si="9"/>
        <v>1075362.0059895788</v>
      </c>
      <c r="O18" s="8">
        <f t="shared" si="9"/>
        <v>1137264.8360604027</v>
      </c>
    </row>
    <row r="19" spans="1:15">
      <c r="A19" s="11" t="str">
        <f>A13</f>
        <v>Studio</v>
      </c>
      <c r="B19" s="15">
        <v>0</v>
      </c>
      <c r="D19" s="29" t="s">
        <v>34</v>
      </c>
      <c r="F19" s="2">
        <f>$B$27*$B$30</f>
        <v>570960</v>
      </c>
      <c r="G19" s="2">
        <f t="shared" ref="G19:O19" si="10">$B$27*$B$30</f>
        <v>570960</v>
      </c>
      <c r="H19" s="2">
        <f t="shared" si="10"/>
        <v>570960</v>
      </c>
      <c r="I19" s="2">
        <f t="shared" si="10"/>
        <v>570960</v>
      </c>
      <c r="J19" s="2">
        <f t="shared" si="10"/>
        <v>570960</v>
      </c>
      <c r="K19" s="2">
        <f t="shared" si="10"/>
        <v>570960</v>
      </c>
      <c r="L19" s="2">
        <f t="shared" si="10"/>
        <v>570960</v>
      </c>
      <c r="M19" s="2">
        <f t="shared" si="10"/>
        <v>570960</v>
      </c>
      <c r="N19" s="2">
        <f t="shared" si="10"/>
        <v>570960</v>
      </c>
      <c r="O19" s="2">
        <f t="shared" si="10"/>
        <v>570960</v>
      </c>
    </row>
    <row r="20" spans="1:15">
      <c r="A20" s="11" t="str">
        <f>A14</f>
        <v>1 Bed, 1 bath</v>
      </c>
      <c r="B20" s="15">
        <v>926</v>
      </c>
      <c r="C20" s="15"/>
      <c r="D20" s="33" t="s">
        <v>35</v>
      </c>
      <c r="E20" s="1"/>
      <c r="F20" s="3">
        <f t="shared" ref="F20:O20" si="11">F$18-F$19</f>
        <v>106718.78399999999</v>
      </c>
      <c r="G20" s="3">
        <f t="shared" si="11"/>
        <v>148129.95552000008</v>
      </c>
      <c r="H20" s="3">
        <f t="shared" si="11"/>
        <v>191680.00258560013</v>
      </c>
      <c r="I20" s="3">
        <f t="shared" si="11"/>
        <v>237477.91848316812</v>
      </c>
      <c r="J20" s="3">
        <f t="shared" si="11"/>
        <v>285638.2076486632</v>
      </c>
      <c r="K20" s="3">
        <f t="shared" si="11"/>
        <v>336281.16306967335</v>
      </c>
      <c r="L20" s="3">
        <f t="shared" si="11"/>
        <v>389533.15761289117</v>
      </c>
      <c r="M20" s="3">
        <f t="shared" si="11"/>
        <v>445526.9499749617</v>
      </c>
      <c r="N20" s="3">
        <f t="shared" si="11"/>
        <v>504402.00598957879</v>
      </c>
      <c r="O20" s="3">
        <f t="shared" si="11"/>
        <v>566304.83606040268</v>
      </c>
    </row>
    <row r="21" spans="1:15">
      <c r="A21" s="11" t="str">
        <f>A15</f>
        <v>2 Bed, 1 bath</v>
      </c>
      <c r="B21" s="15">
        <v>1087</v>
      </c>
      <c r="C21" s="15"/>
      <c r="D21" s="29"/>
    </row>
    <row r="22" spans="1:15">
      <c r="A22" s="11" t="str">
        <f>A16</f>
        <v>3 Bed, 2 bath</v>
      </c>
      <c r="B22" s="15">
        <v>1653</v>
      </c>
      <c r="C22" s="15"/>
      <c r="D22" s="29" t="s">
        <v>36</v>
      </c>
      <c r="E22" s="5">
        <f>-B4</f>
        <v>-12000000</v>
      </c>
      <c r="F22" s="5"/>
    </row>
    <row r="23" spans="1:15">
      <c r="A23" s="11"/>
      <c r="B23" s="13"/>
      <c r="C23" s="13"/>
      <c r="D23" s="29" t="s">
        <v>37</v>
      </c>
      <c r="E23" s="5">
        <f>B27</f>
        <v>7800000</v>
      </c>
      <c r="F23" s="5"/>
      <c r="O23" s="5">
        <f>-B27</f>
        <v>-7800000</v>
      </c>
    </row>
    <row r="24" spans="1:15">
      <c r="A24" s="21" t="s">
        <v>38</v>
      </c>
      <c r="B24" s="22">
        <f>((B13*B19)+(B14*B20)+(B15*B21)+(B16*B22))</f>
        <v>71154</v>
      </c>
      <c r="D24" s="29" t="s">
        <v>39</v>
      </c>
      <c r="O24" s="5">
        <f>B37</f>
        <v>22745296.721208051</v>
      </c>
    </row>
    <row r="25" spans="1:15">
      <c r="D25" s="33" t="s">
        <v>40</v>
      </c>
      <c r="E25" s="3">
        <f t="shared" ref="E25:O25" si="12">SUM(E$20:E$24)</f>
        <v>-4200000</v>
      </c>
      <c r="F25" s="7">
        <f t="shared" si="12"/>
        <v>106718.78399999999</v>
      </c>
      <c r="G25" s="3">
        <f t="shared" si="12"/>
        <v>148129.95552000008</v>
      </c>
      <c r="H25" s="3">
        <f t="shared" si="12"/>
        <v>191680.00258560013</v>
      </c>
      <c r="I25" s="3">
        <f t="shared" si="12"/>
        <v>237477.91848316812</v>
      </c>
      <c r="J25" s="3">
        <f t="shared" si="12"/>
        <v>285638.2076486632</v>
      </c>
      <c r="K25" s="3">
        <f t="shared" si="12"/>
        <v>336281.16306967335</v>
      </c>
      <c r="L25" s="3">
        <f t="shared" si="12"/>
        <v>389533.15761289117</v>
      </c>
      <c r="M25" s="3">
        <f t="shared" si="12"/>
        <v>445526.9499749617</v>
      </c>
      <c r="N25" s="3">
        <f t="shared" si="12"/>
        <v>504402.00598957879</v>
      </c>
      <c r="O25" s="3">
        <f t="shared" si="12"/>
        <v>15511601.557268454</v>
      </c>
    </row>
    <row r="27" spans="1:15">
      <c r="A27" s="17" t="s">
        <v>41</v>
      </c>
      <c r="B27" s="23">
        <f>B31*B4</f>
        <v>7800000</v>
      </c>
    </row>
    <row r="28" spans="1:15">
      <c r="A28" s="11" t="s">
        <v>42</v>
      </c>
      <c r="B28" s="40">
        <v>4.82E-2</v>
      </c>
    </row>
    <row r="29" spans="1:15">
      <c r="A29" s="11" t="s">
        <v>43</v>
      </c>
      <c r="B29" s="40">
        <v>2.5000000000000001E-2</v>
      </c>
    </row>
    <row r="30" spans="1:15">
      <c r="A30" s="11" t="s">
        <v>44</v>
      </c>
      <c r="B30" s="24">
        <f>B28+B29</f>
        <v>7.3200000000000001E-2</v>
      </c>
    </row>
    <row r="31" spans="1:15" ht="16.5" thickBot="1">
      <c r="A31" s="11" t="s">
        <v>45</v>
      </c>
      <c r="B31" s="20">
        <v>0.65</v>
      </c>
    </row>
    <row r="32" spans="1:15" ht="16.5" thickBot="1">
      <c r="A32" s="11" t="s">
        <v>46</v>
      </c>
      <c r="B32" s="36">
        <f>(_xlfn.XLOOKUP(C32,F3:O3,F18:O18))/(_xlfn.XLOOKUP(C32,F3:O3,F19:O19))</f>
        <v>1.5002770905994522</v>
      </c>
      <c r="C32" s="35" t="s">
        <v>5</v>
      </c>
    </row>
    <row r="33" spans="1:6">
      <c r="A33" s="16" t="s">
        <v>47</v>
      </c>
      <c r="B33" s="26">
        <f>B4-B27</f>
        <v>4200000</v>
      </c>
    </row>
    <row r="34" spans="1:6">
      <c r="B34" s="2"/>
      <c r="F34" s="42"/>
    </row>
    <row r="35" spans="1:6">
      <c r="F35" s="42"/>
    </row>
    <row r="36" spans="1:6">
      <c r="A36" s="17" t="s">
        <v>48</v>
      </c>
      <c r="B36" s="27">
        <v>0.05</v>
      </c>
    </row>
    <row r="37" spans="1:6">
      <c r="A37" s="11" t="s">
        <v>49</v>
      </c>
      <c r="B37" s="25">
        <f>O18/B36</f>
        <v>22745296.721208051</v>
      </c>
      <c r="F37" s="42"/>
    </row>
    <row r="38" spans="1:6">
      <c r="A38" s="11" t="s">
        <v>50</v>
      </c>
      <c r="B38" s="25">
        <f>B37-B27</f>
        <v>14945296.721208051</v>
      </c>
      <c r="F38" s="42"/>
    </row>
    <row r="39" spans="1:6" ht="16.5" thickBot="1">
      <c r="A39" s="11" t="s">
        <v>51</v>
      </c>
      <c r="B39" s="37">
        <f>(SUM(F20:N20)+B38)/B33</f>
        <v>4.1882583014506167</v>
      </c>
    </row>
    <row r="40" spans="1:6" ht="16.5" thickBot="1">
      <c r="A40" s="11" t="s">
        <v>52</v>
      </c>
      <c r="B40" s="38">
        <f>(_xlfn.XLOOKUP(C40,F3:O3,F20:O20))/B33</f>
        <v>6.800909705920552E-2</v>
      </c>
      <c r="C40" s="43" t="s">
        <v>5</v>
      </c>
      <c r="F40" s="42"/>
    </row>
    <row r="41" spans="1:6">
      <c r="A41" s="16" t="s">
        <v>53</v>
      </c>
      <c r="B41" s="39">
        <f>IRR(E25:O25)</f>
        <v>0.17356352817852505</v>
      </c>
    </row>
    <row r="42" spans="1:6">
      <c r="F42" s="42"/>
    </row>
  </sheetData>
  <phoneticPr fontId="2" type="noConversion"/>
  <dataValidations count="1">
    <dataValidation type="list" allowBlank="1" showInputMessage="1" showErrorMessage="1" sqref="C40 C32" xr:uid="{33288A70-D8BE-4F3F-8022-83C36108B6B2}">
      <formula1>$F$3:$O$3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4e0a8d-c684-462a-86c3-4aaf12defe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292B3AFF6803428C01696280E28737" ma:contentTypeVersion="6" ma:contentTypeDescription="Create a new document." ma:contentTypeScope="" ma:versionID="a439725551df57b9cfb1d5255ad0326c">
  <xsd:schema xmlns:xsd="http://www.w3.org/2001/XMLSchema" xmlns:xs="http://www.w3.org/2001/XMLSchema" xmlns:p="http://schemas.microsoft.com/office/2006/metadata/properties" xmlns:ns3="354e0a8d-c684-462a-86c3-4aaf12defede" targetNamespace="http://schemas.microsoft.com/office/2006/metadata/properties" ma:root="true" ma:fieldsID="809a9c073152178996165e2f3bb37979" ns3:_="">
    <xsd:import namespace="354e0a8d-c684-462a-86c3-4aaf12defed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e0a8d-c684-462a-86c3-4aaf12defed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7191B3-9275-4951-B3E3-8E7D09D8A5C4}"/>
</file>

<file path=customXml/itemProps2.xml><?xml version="1.0" encoding="utf-8"?>
<ds:datastoreItem xmlns:ds="http://schemas.openxmlformats.org/officeDocument/2006/customXml" ds:itemID="{DD49DB73-B9BA-43E5-808E-096555E9DE40}"/>
</file>

<file path=customXml/itemProps3.xml><?xml version="1.0" encoding="utf-8"?>
<ds:datastoreItem xmlns:ds="http://schemas.openxmlformats.org/officeDocument/2006/customXml" ds:itemID="{43EC89E2-0890-45E3-9ED3-AC5A67A88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Jake Wolf</dc:creator>
  <cp:keywords/>
  <dc:description/>
  <cp:lastModifiedBy/>
  <cp:revision/>
  <dcterms:created xsi:type="dcterms:W3CDTF">2024-09-16T23:24:32Z</dcterms:created>
  <dcterms:modified xsi:type="dcterms:W3CDTF">2024-11-11T16:42:40Z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0x01010048292B3AFF6803428C01696280E28737</vt:lpwstr>
  </property>
</Properties>
</file>