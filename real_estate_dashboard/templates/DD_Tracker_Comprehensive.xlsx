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1" sheetId="1" state="visible" r:id="rId3"/>
    <sheet name="Instructions" sheetId="2" state="visible" r:id="rId4"/>
    <sheet name="Executive Summary" sheetId="3" state="visible" r:id="rId5"/>
    <sheet name="Master Checklist" sheetId="4" state="visible" r:id="rId6"/>
    <sheet name="Risk Assessment Copy" sheetId="5" state="visible" r:id="rId7"/>
    <sheet name="Integration with Models" sheetId="6" state="visible" r:id="rId8"/>
    <sheet name="Document Repository" sheetId="7" state="visible" r:id="rId9"/>
    <sheet name="Team Track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<sst xmlns="http://schemas.openxmlformats.org/spreadsheetml/2006/main" count="1096" uniqueCount="556">
  <si>
    <t xml:space="preserve">DUE DILIGENCE TRACKER - USER GUIDE</t>
  </si>
  <si>
    <t xml:space="preserve">OVERVIEW</t>
  </si>
  <si>
    <t xml:space="preserve">This Due Diligence Tracker is a comprehensive tool for managing the entire due diligence process for M&amp;A, LBO, or investment transactions.</t>
  </si>
  <si>
    <t xml:space="preserve">It integrates with the DCF and LBO valuation models to provide end-to-end deal analysis capabilities.</t>
  </si>
  <si>
    <t xml:space="preserve">COLOR CODING SYSTEM</t>
  </si>
  <si>
    <t xml:space="preserve">🔵 Blue text with yellow highlight = INPUT CELLS (your data)</t>
  </si>
  <si>
    <t xml:space="preserve">⚫ Black text = FORMULAS (automatically calculated)</t>
  </si>
  <si>
    <t xml:space="preserve">🟢 Green text = LINKS to other sheets</t>
  </si>
  <si>
    <t xml:space="preserve">WORKSHEET GUIDE</t>
  </si>
  <si>
    <t xml:space="preserve">1. EXECUTIVE SUMMARY</t>
  </si>
  <si>
    <t xml:space="preserve">   • Dashboard with key metrics and progress tracking</t>
  </si>
  <si>
    <t xml:space="preserve">   • Overall completion percentages</t>
  </si>
  <si>
    <t xml:space="preserve">   • Risk summary and go/no-go recommendation</t>
  </si>
  <si>
    <t xml:space="preserve">   • No inputs required - all automated from other sheets</t>
  </si>
  <si>
    <t xml:space="preserve">2. MASTER CHECKLIST</t>
  </si>
  <si>
    <t xml:space="preserve">   • Comprehensive list of 162+ DD items across all workstreams</t>
  </si>
  <si>
    <t xml:space="preserve">   • Track Status, Priority, Owner, Due Dates</t>
  </si>
  <si>
    <t xml:space="preserve">   • Link to supporting documents</t>
  </si>
  <si>
    <t xml:space="preserve">   • Covers: Financial, Legal, Commercial, Operational, IT, ESG, HR</t>
  </si>
  <si>
    <t xml:space="preserve">3. RISK ASSESSMENT</t>
  </si>
  <si>
    <t xml:space="preserve">   • Log all identified risks and issues</t>
  </si>
  <si>
    <t xml:space="preserve">   • Rate by Severity and Likelihood</t>
  </si>
  <si>
    <t xml:space="preserve">   • Auto-calculates Risk Rating (High/Medium/Low)</t>
  </si>
  <si>
    <t xml:space="preserve">   • Quantify impact in dollars</t>
  </si>
  <si>
    <t xml:space="preserve">   • Track mitigation plans</t>
  </si>
  <si>
    <t xml:space="preserve">4. ACTION ITEMS</t>
  </si>
  <si>
    <t xml:space="preserve">   • Track all action items from DD process</t>
  </si>
  <si>
    <t xml:space="preserve">   • Link to related risks</t>
  </si>
  <si>
    <t xml:space="preserve">   • Monitor due dates and overdue items</t>
  </si>
  <si>
    <t xml:space="preserve">   • Update status as items progress</t>
  </si>
  <si>
    <t xml:space="preserve">5. DOCUMENT REPOSITORY</t>
  </si>
  <si>
    <t xml:space="preserve">   • Log all documents requested and received</t>
  </si>
  <si>
    <t xml:space="preserve">   • Track document status and location</t>
  </si>
  <si>
    <t xml:space="preserve">   • Link to data room or file storage</t>
  </si>
  <si>
    <t xml:space="preserve">6. TEAM TRACKER</t>
  </si>
  <si>
    <t xml:space="preserve">   • Maintain team member contact information</t>
  </si>
  <si>
    <t xml:space="preserve">   • Track workstream assignments</t>
  </si>
  <si>
    <t xml:space="preserve">   • Monitor active tasks per person</t>
  </si>
  <si>
    <t xml:space="preserve">   • Include external advisors and contacts</t>
  </si>
  <si>
    <t xml:space="preserve">QUICK START (30 MINUTES)</t>
  </si>
  <si>
    <t xml:space="preserve">Step 1: Enter transaction information in Executive Summary (5 min)</t>
  </si>
  <si>
    <t xml:space="preserve">   • Company name, deal value, dates, deal lead</t>
  </si>
  <si>
    <t xml:space="preserve">Step 2: Review Master Checklist and customize (10 min)</t>
  </si>
  <si>
    <t xml:space="preserve">   • Add/remove items based on your transaction</t>
  </si>
  <si>
    <t xml:space="preserve">   • Assign owners and due dates</t>
  </si>
  <si>
    <t xml:space="preserve">   • Set priorities</t>
  </si>
  <si>
    <t xml:space="preserve">Step 3: Add team members in Team Tracker (5 min)</t>
  </si>
  <si>
    <t xml:space="preserve">   • Internal team and external advisors</t>
  </si>
  <si>
    <t xml:space="preserve">Step 4: Begin logging documents and tracking progress (10 min)</t>
  </si>
  <si>
    <t xml:space="preserve">   • Update statuses as items complete</t>
  </si>
  <si>
    <t xml:space="preserve">   • Log risks and action items as identified</t>
  </si>
  <si>
    <t xml:space="preserve">INTEGRATION WITH OTHER MODELS</t>
  </si>
  <si>
    <t xml:space="preserve">This DD Tracker is designed to work alongside:</t>
  </si>
  <si>
    <t xml:space="preserve">   • DCF Model - Use findings to refine valuation assumptions</t>
  </si>
  <si>
    <t xml:space="preserve">   • LBO Model - Identify risks affecting returns</t>
  </si>
  <si>
    <t xml:space="preserve">   • Merger Model - Track integration issues</t>
  </si>
  <si>
    <t xml:space="preserve">Link key DD findings (revenue risks, cost synergies, etc.) to</t>
  </si>
  <si>
    <t xml:space="preserve">your valuation models to create integrated deal analysis.</t>
  </si>
  <si>
    <t xml:space="preserve">BEST PRACTICES</t>
  </si>
  <si>
    <t xml:space="preserve">✓ Update status daily during active DD period</t>
  </si>
  <si>
    <t xml:space="preserve">✓ Hold weekly team reviews of dashboard</t>
  </si>
  <si>
    <t xml:space="preserve">✓ Flag high-priority and high-risk items immediately</t>
  </si>
  <si>
    <t xml:space="preserve">✓ Document all findings in Notes columns</t>
  </si>
  <si>
    <t xml:space="preserve">✓ Link related items (DD items → Risks → Actions)</t>
  </si>
  <si>
    <t xml:space="preserve">✓ Maintain document repository religiously</t>
  </si>
  <si>
    <t xml:space="preserve">✓ Export Executive Summary for IC memos</t>
  </si>
  <si>
    <t xml:space="preserve">For questions or support, refer to the comprehensive DCF Model Guide</t>
  </si>
  <si>
    <t xml:space="preserve">and LBO Model Guide included in your toolkit.</t>
  </si>
  <si>
    <t xml:space="preserve">PURPOSE</t>
  </si>
  <si>
    <t xml:space="preserve">This Due Diligence Tracker helps manage comprehensive DD across all workstreams for M&amp;A transactions, LBOs, and strategic investments.</t>
  </si>
  <si>
    <t xml:space="preserve">SHEETS OVERVIEW</t>
  </si>
  <si>
    <t xml:space="preserve">1. Executive Summary</t>
  </si>
  <si>
    <t xml:space="preserve">High-level dashboard showing overall progress, workstream status, and risk summary</t>
  </si>
  <si>
    <t xml:space="preserve">2. Master Checklist</t>
  </si>
  <si>
    <t xml:space="preserve">Comprehensive checklist of 150+ DD items across all categories</t>
  </si>
  <si>
    <t xml:space="preserve">3. Financial DD Detail</t>
  </si>
  <si>
    <t xml:space="preserve">Detailed financial due diligence items and findings</t>
  </si>
  <si>
    <t xml:space="preserve">4. Legal DD Detail</t>
  </si>
  <si>
    <t xml:space="preserve">Legal and regulatory DD items</t>
  </si>
  <si>
    <t xml:space="preserve">5. Commercial DD Detail</t>
  </si>
  <si>
    <t xml:space="preserve">Market, customer, and competitive analysis</t>
  </si>
  <si>
    <t xml:space="preserve">6. Issue Log</t>
  </si>
  <si>
    <t xml:space="preserve">Track all due diligence issues and red flags</t>
  </si>
  <si>
    <t xml:space="preserve">7. Risk Register</t>
  </si>
  <si>
    <t xml:space="preserve">Comprehensive risk assessment and mitigation</t>
  </si>
  <si>
    <t xml:space="preserve">8. Document Tracker</t>
  </si>
  <si>
    <t xml:space="preserve">Track all requested and received documents</t>
  </si>
  <si>
    <t xml:space="preserve">9. Timeline &amp; Milestones</t>
  </si>
  <si>
    <t xml:space="preserve">Track key DD milestones and deadlines</t>
  </si>
  <si>
    <t xml:space="preserve">10. Integration w/ Models</t>
  </si>
  <si>
    <t xml:space="preserve">Links to DCF and LBO models</t>
  </si>
  <si>
    <t xml:space="preserve">COLOR CODING</t>
  </si>
  <si>
    <t xml:space="preserve">Blue text with yellow highlight</t>
  </si>
  <si>
    <t xml:space="preserve">Black text</t>
  </si>
  <si>
    <t xml:space="preserve">Green text</t>
  </si>
  <si>
    <t xml:space="preserve">HOW TO USE</t>
  </si>
  <si>
    <t xml:space="preserve">Step 1</t>
  </si>
  <si>
    <t xml:space="preserve">Enter deal information in Executive Summary</t>
  </si>
  <si>
    <t xml:space="preserve">Step 2</t>
  </si>
  <si>
    <t xml:space="preserve">Update Master Checklist as you receive documents</t>
  </si>
  <si>
    <t xml:space="preserve">Step 3</t>
  </si>
  <si>
    <t xml:space="preserve">Log any issues in Issue Log with severity</t>
  </si>
  <si>
    <t xml:space="preserve">Step 4</t>
  </si>
  <si>
    <t xml:space="preserve">Track risks in Risk Register</t>
  </si>
  <si>
    <t xml:space="preserve">Step 5</t>
  </si>
  <si>
    <t xml:space="preserve">Review Executive Summary dashboard for overall progress</t>
  </si>
  <si>
    <t xml:space="preserve">INTEGRATION</t>
  </si>
  <si>
    <t xml:space="preserve">This tracker is designed to integrate with your DCF and LBO models.</t>
  </si>
  <si>
    <t xml:space="preserve">Key findings flow into valuation assumptions and risk adjustments.</t>
  </si>
  <si>
    <t xml:space="preserve">See 'Integration w/ Models' sheet for linking instructions.</t>
  </si>
  <si>
    <t xml:space="preserve">DUE DILIGENCE TRACKER - EXECUTIVE SUMMARY</t>
  </si>
  <si>
    <t xml:space="preserve">DEAL INFORMATION</t>
  </si>
  <si>
    <t xml:space="preserve">OVERALL PROGRESS</t>
  </si>
  <si>
    <t xml:space="preserve">Target Company:</t>
  </si>
  <si>
    <t xml:space="preserve">Enter Company Name</t>
  </si>
  <si>
    <t xml:space="preserve">Total Items:</t>
  </si>
  <si>
    <t xml:space="preserve">Transaction Type:</t>
  </si>
  <si>
    <t xml:space="preserve">LBO / Strategic / Minority</t>
  </si>
  <si>
    <t xml:space="preserve">Completed:</t>
  </si>
  <si>
    <t xml:space="preserve">Deal Size ($M):</t>
  </si>
  <si>
    <t xml:space="preserve">In Progress:</t>
  </si>
  <si>
    <t xml:space="preserve">DD Start Date:</t>
  </si>
  <si>
    <t xml:space="preserve">Not Started:</t>
  </si>
  <si>
    <t xml:space="preserve">Target Close Date:</t>
  </si>
  <si>
    <t xml:space="preserve">% Complete:</t>
  </si>
  <si>
    <t xml:space="preserve">Days Remaining:</t>
  </si>
  <si>
    <t xml:space="preserve">Lead Partner:</t>
  </si>
  <si>
    <t xml:space="preserve">Name</t>
  </si>
  <si>
    <t xml:space="preserve">WORKSTREAM PROGRESS</t>
  </si>
  <si>
    <t xml:space="preserve">Workstream</t>
  </si>
  <si>
    <t xml:space="preserve">Total</t>
  </si>
  <si>
    <t xml:space="preserve">Complete</t>
  </si>
  <si>
    <t xml:space="preserve">In Progress</t>
  </si>
  <si>
    <t xml:space="preserve">Not Started</t>
  </si>
  <si>
    <t xml:space="preserve">% Done</t>
  </si>
  <si>
    <t xml:space="preserve">Status</t>
  </si>
  <si>
    <t xml:space="preserve">Financial DD</t>
  </si>
  <si>
    <t xml:space="preserve">Legal &amp; Regulatory</t>
  </si>
  <si>
    <t xml:space="preserve">Commercial DD</t>
  </si>
  <si>
    <t xml:space="preserve">Operational DD</t>
  </si>
  <si>
    <t xml:space="preserve">IT / Technology</t>
  </si>
  <si>
    <t xml:space="preserve">HR / Organization</t>
  </si>
  <si>
    <t xml:space="preserve">Tax DD</t>
  </si>
  <si>
    <t xml:space="preserve">Environmental</t>
  </si>
  <si>
    <t xml:space="preserve">RISK &amp; ISSUE SUMMARY</t>
  </si>
  <si>
    <t xml:space="preserve">Risk Level</t>
  </si>
  <si>
    <t xml:space="preserve">Count</t>
  </si>
  <si>
    <t xml:space="preserve">Open Issues</t>
  </si>
  <si>
    <t xml:space="preserve">High</t>
  </si>
  <si>
    <t xml:space="preserve">Medium</t>
  </si>
  <si>
    <t xml:space="preserve">Low</t>
  </si>
  <si>
    <t xml:space="preserve">KEY FINDINGS &amp; RED FLAGS</t>
  </si>
  <si>
    <t xml:space="preserve">Critical Issues:</t>
  </si>
  <si>
    <t xml:space="preserve">Deal Breakers:</t>
  </si>
  <si>
    <t xml:space="preserve">COMPREHENSIVE DUE DILIGENCE MASTER CHECKLIST</t>
  </si>
  <si>
    <t xml:space="preserve">Instructions: Track all DD items. Update Status, Responsible Party. Flag issues in Issue Log. Color code: Blue = Input, Black = Formula, Green = Link</t>
  </si>
  <si>
    <t xml:space="preserve">#</t>
  </si>
  <si>
    <t xml:space="preserve">Category</t>
  </si>
  <si>
    <t xml:space="preserve">Item Description</t>
  </si>
  <si>
    <t xml:space="preserve">Document/Data Required</t>
  </si>
  <si>
    <t xml:space="preserve">Priority</t>
  </si>
  <si>
    <t xml:space="preserve">Responsible</t>
  </si>
  <si>
    <t xml:space="preserve">Due Date</t>
  </si>
  <si>
    <t xml:space="preserve">Date Rcvd</t>
  </si>
  <si>
    <t xml:space="preserve">Risk</t>
  </si>
  <si>
    <t xml:space="preserve">Notes</t>
  </si>
  <si>
    <t xml:space="preserve">I.A</t>
  </si>
  <si>
    <t xml:space="preserve">Historical Financials</t>
  </si>
  <si>
    <t xml:space="preserve">5 years audited P&amp;L, BS, CF</t>
  </si>
  <si>
    <t xml:space="preserve">Critical</t>
  </si>
  <si>
    <t xml:space="preserve">Monthly Financials</t>
  </si>
  <si>
    <t xml:space="preserve">Latest 12 months unaudited</t>
  </si>
  <si>
    <t xml:space="preserve">Quality of Earnings</t>
  </si>
  <si>
    <t xml:space="preserve">Detailed QoE analysis with add-backs</t>
  </si>
  <si>
    <t xml:space="preserve">Revenue by Customer</t>
  </si>
  <si>
    <t xml:space="preserve">Customer concentration (3 years)</t>
  </si>
  <si>
    <t xml:space="preserve">Revenue by Product</t>
  </si>
  <si>
    <t xml:space="preserve">Product/service mix analysis</t>
  </si>
  <si>
    <t xml:space="preserve">Revenue Recognition</t>
  </si>
  <si>
    <t xml:space="preserve">ASC 606 policies and compliance</t>
  </si>
  <si>
    <t xml:space="preserve">Recurring Revenue</t>
  </si>
  <si>
    <t xml:space="preserve">MRR/ARR breakdown and retention</t>
  </si>
  <si>
    <t xml:space="preserve">Backlog Analysis</t>
  </si>
  <si>
    <t xml:space="preserve">Contracted not yet recognized</t>
  </si>
  <si>
    <t xml:space="preserve">Working Capital</t>
  </si>
  <si>
    <t xml:space="preserve">A/R, Inventory, A/P analysis</t>
  </si>
  <si>
    <t xml:space="preserve">A/R Aging</t>
  </si>
  <si>
    <t xml:space="preserve">Detailed receivables aging report</t>
  </si>
  <si>
    <t xml:space="preserve">Bad Debt Reserve</t>
  </si>
  <si>
    <t xml:space="preserve">Historical bad debt experience</t>
  </si>
  <si>
    <t xml:space="preserve">Inventory Analysis</t>
  </si>
  <si>
    <t xml:space="preserve">Raw, WIP, finished goods</t>
  </si>
  <si>
    <t xml:space="preserve">Inventory Obsolescence</t>
  </si>
  <si>
    <t xml:space="preserve">Slow-moving and obsolete reserve</t>
  </si>
  <si>
    <t xml:space="preserve">A/P Aging</t>
  </si>
  <si>
    <t xml:space="preserve">Vendor payment terms</t>
  </si>
  <si>
    <t xml:space="preserve">Accrued Liabilities</t>
  </si>
  <si>
    <t xml:space="preserve">Detail of all accruals</t>
  </si>
  <si>
    <t xml:space="preserve">I.B</t>
  </si>
  <si>
    <t xml:space="preserve">EBITDA Reconciliation</t>
  </si>
  <si>
    <t xml:space="preserve">Normalized EBITDA calculation</t>
  </si>
  <si>
    <t xml:space="preserve">Add-backs Support</t>
  </si>
  <si>
    <t xml:space="preserve">Documentation for all add-backs</t>
  </si>
  <si>
    <t xml:space="preserve">One-time Items</t>
  </si>
  <si>
    <t xml:space="preserve">Non-recurring revenue/expenses</t>
  </si>
  <si>
    <t xml:space="preserve">Related Party Trans</t>
  </si>
  <si>
    <t xml:space="preserve">All RPTs and market rates</t>
  </si>
  <si>
    <t xml:space="preserve">I.C</t>
  </si>
  <si>
    <t xml:space="preserve">CapEx Analysis</t>
  </si>
  <si>
    <t xml:space="preserve">Maintenance vs growth CapEx</t>
  </si>
  <si>
    <t xml:space="preserve">Fixed Assets</t>
  </si>
  <si>
    <t xml:space="preserve">Complete PP&amp;E listing</t>
  </si>
  <si>
    <t xml:space="preserve">D&amp;A Schedule</t>
  </si>
  <si>
    <t xml:space="preserve">Depreciation by asset class</t>
  </si>
  <si>
    <t xml:space="preserve">Deferred CapEx</t>
  </si>
  <si>
    <t xml:space="preserve">Deferred maintenance needs</t>
  </si>
  <si>
    <t xml:space="preserve">I.D</t>
  </si>
  <si>
    <t xml:space="preserve">Cash Flow Statement</t>
  </si>
  <si>
    <t xml:space="preserve">Operating, investing, financing</t>
  </si>
  <si>
    <t xml:space="preserve">Free Cash Flow</t>
  </si>
  <si>
    <t xml:space="preserve">FCF calculation and conversion</t>
  </si>
  <si>
    <t xml:space="preserve">Cash Conversion</t>
  </si>
  <si>
    <t xml:space="preserve">Days cash cycle analysis</t>
  </si>
  <si>
    <t xml:space="preserve">I.E</t>
  </si>
  <si>
    <t xml:space="preserve">Budget vs Actual</t>
  </si>
  <si>
    <t xml:space="preserve">Variance analysis (3 years)</t>
  </si>
  <si>
    <t xml:space="preserve">Financial Plan</t>
  </si>
  <si>
    <t xml:space="preserve">Management 3-5 year projections</t>
  </si>
  <si>
    <t xml:space="preserve">KPIs</t>
  </si>
  <si>
    <t xml:space="preserve">Key operational metrics</t>
  </si>
  <si>
    <t xml:space="preserve">Seasonality</t>
  </si>
  <si>
    <t xml:space="preserve">Monthly revenue/EBITDA patterns</t>
  </si>
  <si>
    <t xml:space="preserve">II.A</t>
  </si>
  <si>
    <t xml:space="preserve">Certificate of Inc</t>
  </si>
  <si>
    <t xml:space="preserve">Current certificate + amendments</t>
  </si>
  <si>
    <t xml:space="preserve">Bylaws</t>
  </si>
  <si>
    <t xml:space="preserve">Current bylaws</t>
  </si>
  <si>
    <t xml:space="preserve">Board Minutes</t>
  </si>
  <si>
    <t xml:space="preserve">3 years board minutes</t>
  </si>
  <si>
    <t xml:space="preserve">Shareholder Minutes</t>
  </si>
  <si>
    <t xml:space="preserve">3 years shareholder minutes</t>
  </si>
  <si>
    <t xml:space="preserve">II.B</t>
  </si>
  <si>
    <t xml:space="preserve">Cap Table</t>
  </si>
  <si>
    <t xml:space="preserve">Complete capitalization table</t>
  </si>
  <si>
    <t xml:space="preserve">Stock Certificates</t>
  </si>
  <si>
    <t xml:space="preserve">All outstanding certificates</t>
  </si>
  <si>
    <t xml:space="preserve">Option Agreements</t>
  </si>
  <si>
    <t xml:space="preserve">Stock option grants</t>
  </si>
  <si>
    <t xml:space="preserve">Vesting Schedules</t>
  </si>
  <si>
    <t xml:space="preserve">All vesting schedules</t>
  </si>
  <si>
    <t xml:space="preserve">Shareholder Agreements</t>
  </si>
  <si>
    <t xml:space="preserve">Voting, buy-sell agreements</t>
  </si>
  <si>
    <t xml:space="preserve">Registration Rights</t>
  </si>
  <si>
    <t xml:space="preserve">Any registration rights</t>
  </si>
  <si>
    <t xml:space="preserve">II.C</t>
  </si>
  <si>
    <t xml:space="preserve">Material Contracts</t>
  </si>
  <si>
    <t xml:space="preserve">Contracts &gt;$100K annual</t>
  </si>
  <si>
    <t xml:space="preserve">Customer Contracts</t>
  </si>
  <si>
    <t xml:space="preserve">Top 10 customer agreements</t>
  </si>
  <si>
    <t xml:space="preserve">Supplier Contracts</t>
  </si>
  <si>
    <t xml:space="preserve">Top 10 supplier agreements</t>
  </si>
  <si>
    <t xml:space="preserve">Partnership Agreements</t>
  </si>
  <si>
    <t xml:space="preserve">JVs and strategic partnerships</t>
  </si>
  <si>
    <t xml:space="preserve">Distribution Agreements</t>
  </si>
  <si>
    <t xml:space="preserve">Channel partner agreements</t>
  </si>
  <si>
    <t xml:space="preserve">Licensing Agreements</t>
  </si>
  <si>
    <t xml:space="preserve">Software and technology licenses</t>
  </si>
  <si>
    <t xml:space="preserve">II.D</t>
  </si>
  <si>
    <t xml:space="preserve">Pending Litigation</t>
  </si>
  <si>
    <t xml:space="preserve">All pending lawsuits</t>
  </si>
  <si>
    <t xml:space="preserve">Threatened Litigation</t>
  </si>
  <si>
    <t xml:space="preserve">Demand letters, complaints</t>
  </si>
  <si>
    <t xml:space="preserve">Litigation History</t>
  </si>
  <si>
    <t xml:space="preserve">Settled cases (5 years)</t>
  </si>
  <si>
    <t xml:space="preserve">Regulatory Investigations</t>
  </si>
  <si>
    <t xml:space="preserve">Any regulatory inquiries</t>
  </si>
  <si>
    <t xml:space="preserve">II.E</t>
  </si>
  <si>
    <t xml:space="preserve">Insurance Policies</t>
  </si>
  <si>
    <t xml:space="preserve">All current policies</t>
  </si>
  <si>
    <t xml:space="preserve">Coverage Analysis</t>
  </si>
  <si>
    <t xml:space="preserve">Coverage adequacy review</t>
  </si>
  <si>
    <t xml:space="preserve">Claims History</t>
  </si>
  <si>
    <t xml:space="preserve">5 years claims history</t>
  </si>
  <si>
    <t xml:space="preserve">II.F</t>
  </si>
  <si>
    <t xml:space="preserve">Regulatory Licenses</t>
  </si>
  <si>
    <t xml:space="preserve">Industry-specific permits</t>
  </si>
  <si>
    <t xml:space="preserve">Compliance Programs</t>
  </si>
  <si>
    <t xml:space="preserve">Compliance policies and training</t>
  </si>
  <si>
    <t xml:space="preserve">III.A</t>
  </si>
  <si>
    <t xml:space="preserve">Patent Portfolio</t>
  </si>
  <si>
    <t xml:space="preserve">Patents granted and pending</t>
  </si>
  <si>
    <t xml:space="preserve">Trademark Portfolio</t>
  </si>
  <si>
    <t xml:space="preserve">Trademarks and registrations</t>
  </si>
  <si>
    <t xml:space="preserve">Copyright Portfolio</t>
  </si>
  <si>
    <t xml:space="preserve">Copyrighted materials</t>
  </si>
  <si>
    <t xml:space="preserve">Trade Secrets</t>
  </si>
  <si>
    <t xml:space="preserve">Trade secret protection measures</t>
  </si>
  <si>
    <t xml:space="preserve">III.B</t>
  </si>
  <si>
    <t xml:space="preserve">IP Licenses In</t>
  </si>
  <si>
    <t xml:space="preserve">Third-party IP licenses</t>
  </si>
  <si>
    <t xml:space="preserve">IP Licenses Out</t>
  </si>
  <si>
    <t xml:space="preserve">Licenses granted to others</t>
  </si>
  <si>
    <t xml:space="preserve">III.C</t>
  </si>
  <si>
    <t xml:space="preserve">IP Assignments</t>
  </si>
  <si>
    <t xml:space="preserve">Employee/contractor assignments</t>
  </si>
  <si>
    <t xml:space="preserve">IP Non-Competes</t>
  </si>
  <si>
    <t xml:space="preserve">Non-compete agreements</t>
  </si>
  <si>
    <t xml:space="preserve">III.D</t>
  </si>
  <si>
    <t xml:space="preserve">IP Litigation</t>
  </si>
  <si>
    <t xml:space="preserve">IP disputes and litigation</t>
  </si>
  <si>
    <t xml:space="preserve">Freedom to Operate</t>
  </si>
  <si>
    <t xml:space="preserve">FTO analysis for products</t>
  </si>
  <si>
    <t xml:space="preserve">IV.A</t>
  </si>
  <si>
    <t xml:space="preserve">Market Size</t>
  </si>
  <si>
    <t xml:space="preserve">TAM, SAM, SOM analysis</t>
  </si>
  <si>
    <t xml:space="preserve">Market Growth</t>
  </si>
  <si>
    <t xml:space="preserve">Historical and projected growth</t>
  </si>
  <si>
    <t xml:space="preserve">Market Trends</t>
  </si>
  <si>
    <t xml:space="preserve">Industry trends and drivers</t>
  </si>
  <si>
    <t xml:space="preserve">Market Share</t>
  </si>
  <si>
    <t xml:space="preserve">Company position vs competitors</t>
  </si>
  <si>
    <t xml:space="preserve">IV.B</t>
  </si>
  <si>
    <t xml:space="preserve">Competitive Landscape</t>
  </si>
  <si>
    <t xml:space="preserve">Competitor analysis</t>
  </si>
  <si>
    <t xml:space="preserve">Competitive Position</t>
  </si>
  <si>
    <t xml:space="preserve">Strengths and weaknesses</t>
  </si>
  <si>
    <t xml:space="preserve">Competitive Advantages</t>
  </si>
  <si>
    <t xml:space="preserve">Sustainable differentiation</t>
  </si>
  <si>
    <t xml:space="preserve">Barriers to Entry</t>
  </si>
  <si>
    <t xml:space="preserve">Moats and defensibility</t>
  </si>
  <si>
    <t xml:space="preserve">IV.C</t>
  </si>
  <si>
    <t xml:space="preserve">Customer List</t>
  </si>
  <si>
    <t xml:space="preserve">Complete customer list with revenue</t>
  </si>
  <si>
    <t xml:space="preserve">Customer Concentration</t>
  </si>
  <si>
    <t xml:space="preserve">Top 10 customer dependency</t>
  </si>
  <si>
    <t xml:space="preserve">Terms, pricing, renewals</t>
  </si>
  <si>
    <t xml:space="preserve">Customer Retention</t>
  </si>
  <si>
    <t xml:space="preserve">Churn and NRR analysis</t>
  </si>
  <si>
    <t xml:space="preserve">Customer Satisfaction</t>
  </si>
  <si>
    <t xml:space="preserve">NPS scores and surveys</t>
  </si>
  <si>
    <t xml:space="preserve">Customer References</t>
  </si>
  <si>
    <t xml:space="preserve">Reference calls</t>
  </si>
  <si>
    <t xml:space="preserve">IV.D</t>
  </si>
  <si>
    <t xml:space="preserve">Product Portfolio</t>
  </si>
  <si>
    <t xml:space="preserve">Products and services offered</t>
  </si>
  <si>
    <t xml:space="preserve">Product Roadmap</t>
  </si>
  <si>
    <t xml:space="preserve">Future development plans</t>
  </si>
  <si>
    <t xml:space="preserve">Pricing Strategy</t>
  </si>
  <si>
    <t xml:space="preserve">Pricing model and positioning</t>
  </si>
  <si>
    <t xml:space="preserve">IV.E</t>
  </si>
  <si>
    <t xml:space="preserve">Sales Pipeline</t>
  </si>
  <si>
    <t xml:space="preserve">Current pipeline and stages</t>
  </si>
  <si>
    <t xml:space="preserve">Sales Metrics</t>
  </si>
  <si>
    <t xml:space="preserve">CAC, LTV, payback period</t>
  </si>
  <si>
    <t xml:space="preserve">Sales Process</t>
  </si>
  <si>
    <t xml:space="preserve">Sales cycle and conversion rates</t>
  </si>
  <si>
    <t xml:space="preserve">V.A</t>
  </si>
  <si>
    <t xml:space="preserve">Org Chart</t>
  </si>
  <si>
    <t xml:space="preserve">Complete organizational chart</t>
  </si>
  <si>
    <t xml:space="preserve">Facility Locations</t>
  </si>
  <si>
    <t xml:space="preserve">All facilities and offices</t>
  </si>
  <si>
    <t xml:space="preserve">Real Estate Leases</t>
  </si>
  <si>
    <t xml:space="preserve">All property leases</t>
  </si>
  <si>
    <t xml:space="preserve">V.B</t>
  </si>
  <si>
    <t xml:space="preserve">Manufacturing Process</t>
  </si>
  <si>
    <t xml:space="preserve">Production process flow</t>
  </si>
  <si>
    <t xml:space="preserve">Production Capacity</t>
  </si>
  <si>
    <t xml:space="preserve">Utilization and scalability</t>
  </si>
  <si>
    <t xml:space="preserve">Quality Control</t>
  </si>
  <si>
    <t xml:space="preserve">QC processes and metrics</t>
  </si>
  <si>
    <t xml:space="preserve">V.C</t>
  </si>
  <si>
    <t xml:space="preserve">Supply Chain</t>
  </si>
  <si>
    <t xml:space="preserve">Supplier relationships</t>
  </si>
  <si>
    <t xml:space="preserve">Supplier Concentration</t>
  </si>
  <si>
    <t xml:space="preserve">Key supplier dependencies</t>
  </si>
  <si>
    <t xml:space="preserve">Supply Agreements</t>
  </si>
  <si>
    <t xml:space="preserve">Key supplier contracts</t>
  </si>
  <si>
    <t xml:space="preserve">V.D</t>
  </si>
  <si>
    <t xml:space="preserve">Equipment List</t>
  </si>
  <si>
    <t xml:space="preserve">Critical equipment and age</t>
  </si>
  <si>
    <t xml:space="preserve">Equipment Condition</t>
  </si>
  <si>
    <t xml:space="preserve">Condition assessment</t>
  </si>
  <si>
    <t xml:space="preserve">Maintenance CapEx</t>
  </si>
  <si>
    <t xml:space="preserve">Deferred maintenance</t>
  </si>
  <si>
    <t xml:space="preserve">V.E</t>
  </si>
  <si>
    <t xml:space="preserve">Health &amp; Safety</t>
  </si>
  <si>
    <t xml:space="preserve">OSHA compliance</t>
  </si>
  <si>
    <t xml:space="preserve">Safety Incidents</t>
  </si>
  <si>
    <t xml:space="preserve">Incident history and rates</t>
  </si>
  <si>
    <t xml:space="preserve">Safety Training</t>
  </si>
  <si>
    <t xml:space="preserve">Training programs</t>
  </si>
  <si>
    <t xml:space="preserve">VI.A</t>
  </si>
  <si>
    <t xml:space="preserve">IT Infrastructure</t>
  </si>
  <si>
    <t xml:space="preserve">Servers, networks, cloud</t>
  </si>
  <si>
    <t xml:space="preserve">Software Systems</t>
  </si>
  <si>
    <t xml:space="preserve">ERP, CRM, core systems</t>
  </si>
  <si>
    <t xml:space="preserve">Software Licenses</t>
  </si>
  <si>
    <t xml:space="preserve">All software licenses</t>
  </si>
  <si>
    <t xml:space="preserve">IT Budget</t>
  </si>
  <si>
    <t xml:space="preserve">Annual IT spend</t>
  </si>
  <si>
    <t xml:space="preserve">VI.B</t>
  </si>
  <si>
    <t xml:space="preserve">Cybersecurity</t>
  </si>
  <si>
    <t xml:space="preserve">Security policies and controls</t>
  </si>
  <si>
    <t xml:space="preserve">Data Privacy</t>
  </si>
  <si>
    <t xml:space="preserve">GDPR, CCPA compliance</t>
  </si>
  <si>
    <t xml:space="preserve">Security Incidents</t>
  </si>
  <si>
    <t xml:space="preserve">Breach history</t>
  </si>
  <si>
    <t xml:space="preserve">Pen Testing</t>
  </si>
  <si>
    <t xml:space="preserve">Recent penetration tests</t>
  </si>
  <si>
    <t xml:space="preserve">VI.C</t>
  </si>
  <si>
    <t xml:space="preserve">Business Continuity</t>
  </si>
  <si>
    <t xml:space="preserve">DR and backup plans</t>
  </si>
  <si>
    <t xml:space="preserve">IT Roadmap</t>
  </si>
  <si>
    <t xml:space="preserve">Planned IT investments</t>
  </si>
  <si>
    <t xml:space="preserve">Technical Debt</t>
  </si>
  <si>
    <t xml:space="preserve">Legacy system risks</t>
  </si>
  <si>
    <t xml:space="preserve">IT Staff</t>
  </si>
  <si>
    <t xml:space="preserve">IT team size and capabilities</t>
  </si>
  <si>
    <t xml:space="preserve">VII.A</t>
  </si>
  <si>
    <t xml:space="preserve">Employee List</t>
  </si>
  <si>
    <t xml:space="preserve">Complete employee roster</t>
  </si>
  <si>
    <t xml:space="preserve">Headcount by Function</t>
  </si>
  <si>
    <t xml:space="preserve">Department breakdown</t>
  </si>
  <si>
    <t xml:space="preserve">Org Structure</t>
  </si>
  <si>
    <t xml:space="preserve">Reporting relationships</t>
  </si>
  <si>
    <t xml:space="preserve">VII.B</t>
  </si>
  <si>
    <t xml:space="preserve">Compensation Analysis</t>
  </si>
  <si>
    <t xml:space="preserve">Salary benchmarking</t>
  </si>
  <si>
    <t xml:space="preserve">Bonus Plans</t>
  </si>
  <si>
    <t xml:space="preserve">Incentive plans</t>
  </si>
  <si>
    <t xml:space="preserve">Benefits Programs</t>
  </si>
  <si>
    <t xml:space="preserve">Health, 401k, benefits</t>
  </si>
  <si>
    <t xml:space="preserve">Equity Plan</t>
  </si>
  <si>
    <t xml:space="preserve">Stock option plan</t>
  </si>
  <si>
    <t xml:space="preserve">VII.C</t>
  </si>
  <si>
    <t xml:space="preserve">Employment Agreements</t>
  </si>
  <si>
    <t xml:space="preserve">Key employee contracts</t>
  </si>
  <si>
    <t xml:space="preserve">Change in Control</t>
  </si>
  <si>
    <t xml:space="preserve">CIC and retention agreements</t>
  </si>
  <si>
    <t xml:space="preserve">Non-Competes</t>
  </si>
  <si>
    <t xml:space="preserve">Key Person Risk</t>
  </si>
  <si>
    <t xml:space="preserve">Critical dependencies</t>
  </si>
  <si>
    <t xml:space="preserve">Management Bios</t>
  </si>
  <si>
    <t xml:space="preserve">Background and experience</t>
  </si>
  <si>
    <t xml:space="preserve">VII.D</t>
  </si>
  <si>
    <t xml:space="preserve">Employee Handbook</t>
  </si>
  <si>
    <t xml:space="preserve">HR policies</t>
  </si>
  <si>
    <t xml:space="preserve">Employee Turnover</t>
  </si>
  <si>
    <t xml:space="preserve">Attrition rates</t>
  </si>
  <si>
    <t xml:space="preserve">Employee Litigation</t>
  </si>
  <si>
    <t xml:space="preserve">Employment disputes</t>
  </si>
  <si>
    <t xml:space="preserve">VIII.A</t>
  </si>
  <si>
    <t xml:space="preserve">Tax Returns</t>
  </si>
  <si>
    <t xml:space="preserve">Federal/state returns (3 years)</t>
  </si>
  <si>
    <t xml:space="preserve">Tax Positions</t>
  </si>
  <si>
    <t xml:space="preserve">Uncertain tax positions</t>
  </si>
  <si>
    <t xml:space="preserve">VIII.B</t>
  </si>
  <si>
    <t xml:space="preserve">Tax Audits</t>
  </si>
  <si>
    <t xml:space="preserve">History of audits</t>
  </si>
  <si>
    <t xml:space="preserve">Tax Attributes</t>
  </si>
  <si>
    <t xml:space="preserve">NOLs, credits, carryforwards</t>
  </si>
  <si>
    <t xml:space="preserve">VIII.C</t>
  </si>
  <si>
    <t xml:space="preserve">Transfer Pricing</t>
  </si>
  <si>
    <t xml:space="preserve">Related party documentation</t>
  </si>
  <si>
    <t xml:space="preserve">Sales Tax</t>
  </si>
  <si>
    <t xml:space="preserve">Sales tax compliance</t>
  </si>
  <si>
    <t xml:space="preserve">VIII.D</t>
  </si>
  <si>
    <t xml:space="preserve">Tax Structure</t>
  </si>
  <si>
    <t xml:space="preserve">Entity structure</t>
  </si>
  <si>
    <t xml:space="preserve">International Tax</t>
  </si>
  <si>
    <t xml:space="preserve">Foreign operations</t>
  </si>
  <si>
    <t xml:space="preserve">IX.A</t>
  </si>
  <si>
    <t xml:space="preserve">Phase I ESA</t>
  </si>
  <si>
    <t xml:space="preserve">Environmental assessments</t>
  </si>
  <si>
    <t xml:space="preserve">Environmental Permits</t>
  </si>
  <si>
    <t xml:space="preserve">Air, water, waste permits</t>
  </si>
  <si>
    <t xml:space="preserve">IX.B</t>
  </si>
  <si>
    <t xml:space="preserve">Compliance History</t>
  </si>
  <si>
    <t xml:space="preserve">Violations and citations</t>
  </si>
  <si>
    <t xml:space="preserve">Environmental Incidents</t>
  </si>
  <si>
    <t xml:space="preserve">Spills, remediation</t>
  </si>
  <si>
    <t xml:space="preserve">IX.C</t>
  </si>
  <si>
    <t xml:space="preserve">Environmental Liabilities</t>
  </si>
  <si>
    <t xml:space="preserve">Known/potential liabilities</t>
  </si>
  <si>
    <t xml:space="preserve">INTEGRATION WITH DCF AND LBO MODELS</t>
  </si>
  <si>
    <t xml:space="preserve">DD FINDINGS IMPACT ON VALUATION</t>
  </si>
  <si>
    <t xml:space="preserve">Instructions:</t>
  </si>
  <si>
    <t xml:space="preserve">1. Key DD findings should flow into DCF and LBO model assumptions</t>
  </si>
  <si>
    <t xml:space="preserve">2. Adjust revenue growth, margins, CapEx, NWC based on DD discoveries</t>
  </si>
  <si>
    <t xml:space="preserve">3. Factor in identified risks through scenario analysis</t>
  </si>
  <si>
    <t xml:space="preserve">4. Update WACC or discount rate for risk profile changes</t>
  </si>
  <si>
    <t xml:space="preserve">5. Reflect working capital adjustments in purchase price</t>
  </si>
  <si>
    <t xml:space="preserve">KEY DD FINDINGS IMPACT TABLE</t>
  </si>
  <si>
    <t xml:space="preserve">Finding Category</t>
  </si>
  <si>
    <t xml:space="preserve">DD Finding</t>
  </si>
  <si>
    <t xml:space="preserve">Impact on Valuation</t>
  </si>
  <si>
    <t xml:space="preserve">Model Adjustment</t>
  </si>
  <si>
    <t xml:space="preserve">Value Impact ($M)</t>
  </si>
  <si>
    <t xml:space="preserve">Revenue</t>
  </si>
  <si>
    <t xml:space="preserve">Customer concentration - top 3 = 60%</t>
  </si>
  <si>
    <t xml:space="preserve">Increase revenue risk</t>
  </si>
  <si>
    <t xml:space="preserve">Lower revenue growth by 2%</t>
  </si>
  <si>
    <t xml:space="preserve">EBITDA</t>
  </si>
  <si>
    <t xml:space="preserve">One-time legal costs $2M</t>
  </si>
  <si>
    <t xml:space="preserve">Add back to normalized EBITDA</t>
  </si>
  <si>
    <t xml:space="preserve">Increase EBITDA by $2M</t>
  </si>
  <si>
    <t xml:space="preserve">A/R aging shows DSO at 75 days</t>
  </si>
  <si>
    <t xml:space="preserve">Higher NWC requirement</t>
  </si>
  <si>
    <t xml:space="preserve">Increase NWC by $5M</t>
  </si>
  <si>
    <t xml:space="preserve">CapEx</t>
  </si>
  <si>
    <t xml:space="preserve">Deferred maintenance approximately $3M</t>
  </si>
  <si>
    <t xml:space="preserve">One-time CapEx needed</t>
  </si>
  <si>
    <t xml:space="preserve">Add $3M CapEx in Year 1</t>
  </si>
  <si>
    <t xml:space="preserve">Patent litigation exposure</t>
  </si>
  <si>
    <t xml:space="preserve">Increase discount rate</t>
  </si>
  <si>
    <t xml:space="preserve">WACC +0.5%</t>
  </si>
  <si>
    <t xml:space="preserve">Total Value Impact from DD:</t>
  </si>
  <si>
    <t xml:space="preserve">LINKS TO MODELS</t>
  </si>
  <si>
    <t xml:space="preserve">DCF Model Link:</t>
  </si>
  <si>
    <t xml:space="preserve">[Link to DCF_Model_Comprehensive.xlsx]</t>
  </si>
  <si>
    <t xml:space="preserve">LBO Model Link:</t>
  </si>
  <si>
    <t xml:space="preserve">[Link to LBO_Model_Comprehensive.xlsx]</t>
  </si>
  <si>
    <t xml:space="preserve">KEY ASSUMPTIONS TO UPDATE IN MODELS:</t>
  </si>
  <si>
    <t xml:space="preserve">• Revenue Growth Rates (based on customer and market DD)</t>
  </si>
  <si>
    <t xml:space="preserve">• EBITDA Margins (based on QoE analysis)</t>
  </si>
  <si>
    <t xml:space="preserve">• Working Capital assumptions (based on NWC analysis)</t>
  </si>
  <si>
    <t xml:space="preserve">• CapEx requirements (maintenance + growth)</t>
  </si>
  <si>
    <t xml:space="preserve">• WACC or Discount Rate (based on risk assessment)</t>
  </si>
  <si>
    <t xml:space="preserve">• Terminal Growth Rate (based on market outlook)</t>
  </si>
  <si>
    <t xml:space="preserve">• Exit Multiple (based on comparable transactions)</t>
  </si>
  <si>
    <t xml:space="preserve">DOCUMENT REPOSITORY LOG</t>
  </si>
  <si>
    <t xml:space="preserve">Instructions: Log all documents received during due diligence. Link to data room or file locations.</t>
  </si>
  <si>
    <t xml:space="preserve">Doc ID</t>
  </si>
  <si>
    <t xml:space="preserve">Document Type</t>
  </si>
  <si>
    <t xml:space="preserve">Document Name</t>
  </si>
  <si>
    <t xml:space="preserve">Date Requested</t>
  </si>
  <si>
    <t xml:space="preserve">Date Received</t>
  </si>
  <si>
    <t xml:space="preserve">Requested By</t>
  </si>
  <si>
    <t xml:space="preserve">Provided By</t>
  </si>
  <si>
    <t xml:space="preserve">Location/Link</t>
  </si>
  <si>
    <t xml:space="preserve">DUE DILIGENCE TEAM &amp; CONTACTS</t>
  </si>
  <si>
    <t xml:space="preserve">Instructions: Maintain list of all team members and external contacts involved in due diligence.</t>
  </si>
  <si>
    <t xml:space="preserve">INTERNAL TEAM</t>
  </si>
  <si>
    <t xml:space="preserve">Role</t>
  </si>
  <si>
    <t xml:space="preserve">Email</t>
  </si>
  <si>
    <t xml:space="preserve">Phone</t>
  </si>
  <si>
    <t xml:space="preserve">Company</t>
  </si>
  <si>
    <t xml:space="preserve">Active Tasks</t>
  </si>
  <si>
    <t xml:space="preserve">Deal Lead</t>
  </si>
  <si>
    <t xml:space="preserve">Overall</t>
  </si>
  <si>
    <t xml:space="preserve">Financial Analyst</t>
  </si>
  <si>
    <t xml:space="preserve">Legal Counsel</t>
  </si>
  <si>
    <t xml:space="preserve">EXTERNAL ADVISORS &amp; CONTACTS</t>
  </si>
  <si>
    <t xml:space="preserve">Firm/Company</t>
  </si>
  <si>
    <t xml:space="preserve">Contact Name</t>
  </si>
  <si>
    <t xml:space="preserve">Engagement Date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</si>
</sst>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\$#,##0"/>
    <numFmt numFmtId="167" formatCode="mm/dd/yyyy"/>
    <numFmt numFmtId="168" formatCode="0%"/>
    <numFmt numFmtId="169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mbria"/>
      <family val="0"/>
      <charset val="1"/>
    </font>
    <font>
      <b val="true"/>
      <sz val="12"/>
      <color rgb="FF000000"/>
      <name val="Cambria"/>
      <family val="0"/>
      <charset val="1"/>
    </font>
    <font>
      <sz val="10"/>
      <color rgb="FF000000"/>
      <name val="Cambria"/>
      <family val="0"/>
      <charset val="1"/>
    </font>
    <font>
      <b val="true"/>
      <sz val="16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2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4"/>
      <color rgb="FF000000"/>
      <name val="Cambria"/>
      <family val="0"/>
      <charset val="1"/>
    </font>
    <font>
      <i val="true"/>
      <sz val="9"/>
      <color rgb="FF0000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366092"/>
      </patternFill>
    </fill>
    <fill>
      <patternFill patternType="solid">
        <fgColor rgb="FF366092"/>
        <bgColor rgb="FF1F4E7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0"/>
    <col collapsed="false" customWidth="true" hidden="false" outlineLevel="0" max="10" min="3" style="1" width="2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</row>
    <row r="5" customFormat="false" ht="15" hidden="false" customHeight="true" outlineLevel="0" collapsed="false">
      <c r="B5" s="3" t="s">
        <v>1</v>
      </c>
      <c r="C5" s="3"/>
      <c r="D5" s="3"/>
      <c r="E5" s="3"/>
      <c r="F5" s="3"/>
      <c r="G5" s="3"/>
      <c r="H5" s="3"/>
      <c r="I5" s="3"/>
      <c r="J5" s="3"/>
    </row>
    <row r="6" customFormat="false" ht="23.25" hidden="false" customHeight="true" outlineLevel="0" collapsed="false">
      <c r="B6" s="4" t="s">
        <v>2</v>
      </c>
      <c r="C6" s="4"/>
      <c r="D6" s="4"/>
      <c r="E6" s="4"/>
      <c r="F6" s="4"/>
      <c r="G6" s="4"/>
      <c r="H6" s="4"/>
      <c r="I6" s="4"/>
      <c r="J6" s="4"/>
    </row>
    <row r="7" customFormat="false" ht="15" hidden="false" customHeight="true" outlineLevel="0" collapsed="false">
      <c r="B7" s="4" t="s">
        <v>3</v>
      </c>
      <c r="C7" s="4"/>
      <c r="D7" s="4"/>
      <c r="E7" s="4"/>
      <c r="F7" s="4"/>
      <c r="G7" s="4"/>
      <c r="H7" s="4"/>
      <c r="I7" s="4"/>
      <c r="J7" s="4"/>
    </row>
    <row r="8" customFormat="false" ht="15" hidden="false" customHeight="true" outlineLevel="0" collapsed="false">
      <c r="B8" s="4"/>
      <c r="C8" s="4"/>
      <c r="D8" s="4"/>
      <c r="E8" s="4"/>
      <c r="F8" s="4"/>
      <c r="G8" s="4"/>
      <c r="H8" s="4"/>
      <c r="I8" s="4"/>
      <c r="J8" s="4"/>
    </row>
    <row r="9" customFormat="false" ht="15" hidden="false" customHeight="true" outlineLevel="0" collapsed="false">
      <c r="B9" s="3" t="s">
        <v>4</v>
      </c>
      <c r="C9" s="3"/>
      <c r="D9" s="3"/>
      <c r="E9" s="3"/>
      <c r="F9" s="3"/>
      <c r="G9" s="3"/>
      <c r="H9" s="3"/>
      <c r="I9" s="3"/>
      <c r="J9" s="3"/>
    </row>
    <row r="10" customFormat="false" ht="15" hidden="false" customHeight="true" outlineLevel="0" collapsed="false">
      <c r="B10" s="4" t="s">
        <v>5</v>
      </c>
      <c r="C10" s="4"/>
      <c r="D10" s="4"/>
      <c r="E10" s="4"/>
      <c r="F10" s="4"/>
      <c r="G10" s="4"/>
      <c r="H10" s="4"/>
      <c r="I10" s="4"/>
      <c r="J10" s="4"/>
    </row>
    <row r="11" customFormat="false" ht="15" hidden="false" customHeight="true" outlineLevel="0" collapsed="false">
      <c r="B11" s="4" t="s">
        <v>6</v>
      </c>
      <c r="C11" s="4"/>
      <c r="D11" s="4"/>
      <c r="E11" s="4"/>
      <c r="F11" s="4"/>
      <c r="G11" s="4"/>
      <c r="H11" s="4"/>
      <c r="I11" s="4"/>
      <c r="J11" s="4"/>
    </row>
    <row r="12" customFormat="false" ht="15" hidden="false" customHeight="true" outlineLevel="0" collapsed="false">
      <c r="B12" s="4" t="s">
        <v>7</v>
      </c>
      <c r="C12" s="4"/>
      <c r="D12" s="4"/>
      <c r="E12" s="4"/>
      <c r="F12" s="4"/>
      <c r="G12" s="4"/>
      <c r="H12" s="4"/>
      <c r="I12" s="4"/>
      <c r="J12" s="4"/>
    </row>
    <row r="13" customFormat="false" ht="15" hidden="false" customHeight="true" outlineLevel="0" collapsed="false">
      <c r="B13" s="4"/>
      <c r="C13" s="4"/>
      <c r="D13" s="4"/>
      <c r="E13" s="4"/>
      <c r="F13" s="4"/>
      <c r="G13" s="4"/>
      <c r="H13" s="4"/>
      <c r="I13" s="4"/>
      <c r="J13" s="4"/>
    </row>
    <row r="14" customFormat="false" ht="15" hidden="false" customHeight="true" outlineLevel="0" collapsed="false">
      <c r="B14" s="3" t="s">
        <v>8</v>
      </c>
      <c r="C14" s="3"/>
      <c r="D14" s="3"/>
      <c r="E14" s="3"/>
      <c r="F14" s="3"/>
      <c r="G14" s="3"/>
      <c r="H14" s="3"/>
      <c r="I14" s="3"/>
      <c r="J14" s="3"/>
    </row>
    <row r="15" customFormat="false" ht="15" hidden="false" customHeight="true" outlineLevel="0" collapsed="false">
      <c r="B15" s="4"/>
      <c r="C15" s="4"/>
      <c r="D15" s="4"/>
      <c r="E15" s="4"/>
      <c r="F15" s="4"/>
      <c r="G15" s="4"/>
      <c r="H15" s="4"/>
      <c r="I15" s="4"/>
      <c r="J15" s="4"/>
    </row>
    <row r="16" customFormat="false" ht="15" hidden="false" customHeight="true" outlineLevel="0" collapsed="false">
      <c r="B16" s="4" t="s">
        <v>9</v>
      </c>
      <c r="C16" s="4"/>
      <c r="D16" s="4"/>
      <c r="E16" s="4"/>
      <c r="F16" s="4"/>
      <c r="G16" s="4"/>
      <c r="H16" s="4"/>
      <c r="I16" s="4"/>
      <c r="J16" s="4"/>
    </row>
    <row r="17" customFormat="false" ht="15" hidden="false" customHeight="true" outlineLevel="0" collapsed="false">
      <c r="B17" s="4" t="s">
        <v>10</v>
      </c>
      <c r="C17" s="4"/>
      <c r="D17" s="4"/>
      <c r="E17" s="4"/>
      <c r="F17" s="4"/>
      <c r="G17" s="4"/>
      <c r="H17" s="4"/>
      <c r="I17" s="4"/>
      <c r="J17" s="4"/>
    </row>
    <row r="18" customFormat="false" ht="15" hidden="false" customHeight="true" outlineLevel="0" collapsed="false">
      <c r="B18" s="4" t="s">
        <v>11</v>
      </c>
      <c r="C18" s="4"/>
      <c r="D18" s="4"/>
      <c r="E18" s="4"/>
      <c r="F18" s="4"/>
      <c r="G18" s="4"/>
      <c r="H18" s="4"/>
      <c r="I18" s="4"/>
      <c r="J18" s="4"/>
    </row>
    <row r="19" customFormat="false" ht="15" hidden="false" customHeight="true" outlineLevel="0" collapsed="false">
      <c r="B19" s="4" t="s">
        <v>12</v>
      </c>
      <c r="C19" s="4"/>
      <c r="D19" s="4"/>
      <c r="E19" s="4"/>
      <c r="F19" s="4"/>
      <c r="G19" s="4"/>
      <c r="H19" s="4"/>
      <c r="I19" s="4"/>
      <c r="J19" s="4"/>
    </row>
    <row r="20" customFormat="false" ht="15" hidden="false" customHeight="true" outlineLevel="0" collapsed="false">
      <c r="B20" s="4" t="s">
        <v>13</v>
      </c>
      <c r="C20" s="4"/>
      <c r="D20" s="4"/>
      <c r="E20" s="4"/>
      <c r="F20" s="4"/>
      <c r="G20" s="4"/>
      <c r="H20" s="4"/>
      <c r="I20" s="4"/>
      <c r="J20" s="4"/>
    </row>
    <row r="21" customFormat="false" ht="15" hidden="false" customHeight="true" outlineLevel="0" collapsed="false">
      <c r="B21" s="4"/>
      <c r="C21" s="4"/>
      <c r="D21" s="4"/>
      <c r="E21" s="4"/>
      <c r="F21" s="4"/>
      <c r="G21" s="4"/>
      <c r="H21" s="4"/>
      <c r="I21" s="4"/>
      <c r="J21" s="4"/>
    </row>
    <row r="22" customFormat="false" ht="15" hidden="false" customHeight="true" outlineLevel="0" collapsed="false">
      <c r="B22" s="4" t="s">
        <v>14</v>
      </c>
      <c r="C22" s="4"/>
      <c r="D22" s="4"/>
      <c r="E22" s="4"/>
      <c r="F22" s="4"/>
      <c r="G22" s="4"/>
      <c r="H22" s="4"/>
      <c r="I22" s="4"/>
      <c r="J22" s="4"/>
    </row>
    <row r="23" customFormat="false" ht="15" hidden="false" customHeight="true" outlineLevel="0" collapsed="false">
      <c r="B23" s="4" t="s">
        <v>15</v>
      </c>
      <c r="C23" s="4"/>
      <c r="D23" s="4"/>
      <c r="E23" s="4"/>
      <c r="F23" s="4"/>
      <c r="G23" s="4"/>
      <c r="H23" s="4"/>
      <c r="I23" s="4"/>
      <c r="J23" s="4"/>
    </row>
    <row r="24" customFormat="false" ht="15" hidden="false" customHeight="true" outlineLevel="0" collapsed="false">
      <c r="B24" s="4" t="s">
        <v>16</v>
      </c>
      <c r="C24" s="4"/>
      <c r="D24" s="4"/>
      <c r="E24" s="4"/>
      <c r="F24" s="4"/>
      <c r="G24" s="4"/>
      <c r="H24" s="4"/>
      <c r="I24" s="4"/>
      <c r="J24" s="4"/>
    </row>
    <row r="25" customFormat="false" ht="15" hidden="false" customHeight="true" outlineLevel="0" collapsed="false">
      <c r="B25" s="4" t="s">
        <v>17</v>
      </c>
      <c r="C25" s="4"/>
      <c r="D25" s="4"/>
      <c r="E25" s="4"/>
      <c r="F25" s="4"/>
      <c r="G25" s="4"/>
      <c r="H25" s="4"/>
      <c r="I25" s="4"/>
      <c r="J25" s="4"/>
    </row>
    <row r="26" customFormat="false" ht="15" hidden="false" customHeight="true" outlineLevel="0" collapsed="false">
      <c r="B26" s="4" t="s">
        <v>18</v>
      </c>
      <c r="C26" s="4"/>
      <c r="D26" s="4"/>
      <c r="E26" s="4"/>
      <c r="F26" s="4"/>
      <c r="G26" s="4"/>
      <c r="H26" s="4"/>
      <c r="I26" s="4"/>
      <c r="J26" s="4"/>
    </row>
    <row r="27" customFormat="false" ht="15" hidden="false" customHeight="true" outlineLevel="0" collapsed="false">
      <c r="B27" s="4"/>
      <c r="C27" s="4"/>
      <c r="D27" s="4"/>
      <c r="E27" s="4"/>
      <c r="F27" s="4"/>
      <c r="G27" s="4"/>
      <c r="H27" s="4"/>
      <c r="I27" s="4"/>
      <c r="J27" s="4"/>
    </row>
    <row r="28" customFormat="false" ht="15" hidden="false" customHeight="true" outlineLevel="0" collapsed="false">
      <c r="B28" s="4" t="s">
        <v>19</v>
      </c>
      <c r="C28" s="4"/>
      <c r="D28" s="4"/>
      <c r="E28" s="4"/>
      <c r="F28" s="4"/>
      <c r="G28" s="4"/>
      <c r="H28" s="4"/>
      <c r="I28" s="4"/>
      <c r="J28" s="4"/>
    </row>
    <row r="29" customFormat="false" ht="15" hidden="false" customHeight="true" outlineLevel="0" collapsed="false">
      <c r="B29" s="4" t="s">
        <v>20</v>
      </c>
      <c r="C29" s="4"/>
      <c r="D29" s="4"/>
      <c r="E29" s="4"/>
      <c r="F29" s="4"/>
      <c r="G29" s="4"/>
      <c r="H29" s="4"/>
      <c r="I29" s="4"/>
      <c r="J29" s="4"/>
    </row>
    <row r="30" customFormat="false" ht="15" hidden="false" customHeight="true" outlineLevel="0" collapsed="false">
      <c r="B30" s="4" t="s">
        <v>21</v>
      </c>
      <c r="C30" s="4"/>
      <c r="D30" s="4"/>
      <c r="E30" s="4"/>
      <c r="F30" s="4"/>
      <c r="G30" s="4"/>
      <c r="H30" s="4"/>
      <c r="I30" s="4"/>
      <c r="J30" s="4"/>
    </row>
    <row r="31" customFormat="false" ht="15" hidden="false" customHeight="true" outlineLevel="0" collapsed="false">
      <c r="B31" s="4" t="s">
        <v>22</v>
      </c>
      <c r="C31" s="4"/>
      <c r="D31" s="4"/>
      <c r="E31" s="4"/>
      <c r="F31" s="4"/>
      <c r="G31" s="4"/>
      <c r="H31" s="4"/>
      <c r="I31" s="4"/>
      <c r="J31" s="4"/>
    </row>
    <row r="32" customFormat="false" ht="15" hidden="false" customHeight="true" outlineLevel="0" collapsed="false">
      <c r="B32" s="4" t="s">
        <v>23</v>
      </c>
      <c r="C32" s="4"/>
      <c r="D32" s="4"/>
      <c r="E32" s="4"/>
      <c r="F32" s="4"/>
      <c r="G32" s="4"/>
      <c r="H32" s="4"/>
      <c r="I32" s="4"/>
      <c r="J32" s="4"/>
    </row>
    <row r="33" customFormat="false" ht="15" hidden="false" customHeight="true" outlineLevel="0" collapsed="false">
      <c r="B33" s="4" t="s">
        <v>24</v>
      </c>
      <c r="C33" s="4"/>
      <c r="D33" s="4"/>
      <c r="E33" s="4"/>
      <c r="F33" s="4"/>
      <c r="G33" s="4"/>
      <c r="H33" s="4"/>
      <c r="I33" s="4"/>
      <c r="J33" s="4"/>
    </row>
    <row r="34" customFormat="false" ht="15" hidden="false" customHeight="true" outlineLevel="0" collapsed="false">
      <c r="B34" s="4"/>
      <c r="C34" s="4"/>
      <c r="D34" s="4"/>
      <c r="E34" s="4"/>
      <c r="F34" s="4"/>
      <c r="G34" s="4"/>
      <c r="H34" s="4"/>
      <c r="I34" s="4"/>
      <c r="J34" s="4"/>
    </row>
    <row r="35" customFormat="false" ht="15" hidden="false" customHeight="true" outlineLevel="0" collapsed="false">
      <c r="B35" s="4" t="s">
        <v>25</v>
      </c>
      <c r="C35" s="4"/>
      <c r="D35" s="4"/>
      <c r="E35" s="4"/>
      <c r="F35" s="4"/>
      <c r="G35" s="4"/>
      <c r="H35" s="4"/>
      <c r="I35" s="4"/>
      <c r="J35" s="4"/>
    </row>
    <row r="36" customFormat="false" ht="15" hidden="false" customHeight="true" outlineLevel="0" collapsed="false">
      <c r="B36" s="4" t="s">
        <v>26</v>
      </c>
      <c r="C36" s="4"/>
      <c r="D36" s="4"/>
      <c r="E36" s="4"/>
      <c r="F36" s="4"/>
      <c r="G36" s="4"/>
      <c r="H36" s="4"/>
      <c r="I36" s="4"/>
      <c r="J36" s="4"/>
    </row>
    <row r="37" customFormat="false" ht="15" hidden="false" customHeight="true" outlineLevel="0" collapsed="false">
      <c r="B37" s="4" t="s">
        <v>27</v>
      </c>
      <c r="C37" s="4"/>
      <c r="D37" s="4"/>
      <c r="E37" s="4"/>
      <c r="F37" s="4"/>
      <c r="G37" s="4"/>
      <c r="H37" s="4"/>
      <c r="I37" s="4"/>
      <c r="J37" s="4"/>
    </row>
    <row r="38" customFormat="false" ht="15" hidden="false" customHeight="true" outlineLevel="0" collapsed="false">
      <c r="B38" s="4" t="s">
        <v>28</v>
      </c>
      <c r="C38" s="4"/>
      <c r="D38" s="4"/>
      <c r="E38" s="4"/>
      <c r="F38" s="4"/>
      <c r="G38" s="4"/>
      <c r="H38" s="4"/>
      <c r="I38" s="4"/>
      <c r="J38" s="4"/>
    </row>
    <row r="39" customFormat="false" ht="15" hidden="false" customHeight="true" outlineLevel="0" collapsed="false">
      <c r="B39" s="4" t="s">
        <v>29</v>
      </c>
      <c r="C39" s="4"/>
      <c r="D39" s="4"/>
      <c r="E39" s="4"/>
      <c r="F39" s="4"/>
      <c r="G39" s="4"/>
      <c r="H39" s="4"/>
      <c r="I39" s="4"/>
      <c r="J39" s="4"/>
    </row>
    <row r="40" customFormat="false" ht="15" hidden="false" customHeight="true" outlineLevel="0" collapsed="false">
      <c r="B40" s="4"/>
      <c r="C40" s="4"/>
      <c r="D40" s="4"/>
      <c r="E40" s="4"/>
      <c r="F40" s="4"/>
      <c r="G40" s="4"/>
      <c r="H40" s="4"/>
      <c r="I40" s="4"/>
      <c r="J40" s="4"/>
    </row>
    <row r="41" customFormat="false" ht="15" hidden="false" customHeight="true" outlineLevel="0" collapsed="false">
      <c r="B41" s="4" t="s">
        <v>30</v>
      </c>
      <c r="C41" s="4"/>
      <c r="D41" s="4"/>
      <c r="E41" s="4"/>
      <c r="F41" s="4"/>
      <c r="G41" s="4"/>
      <c r="H41" s="4"/>
      <c r="I41" s="4"/>
      <c r="J41" s="4"/>
    </row>
    <row r="42" customFormat="false" ht="15" hidden="false" customHeight="true" outlineLevel="0" collapsed="false">
      <c r="B42" s="4" t="s">
        <v>31</v>
      </c>
      <c r="C42" s="4"/>
      <c r="D42" s="4"/>
      <c r="E42" s="4"/>
      <c r="F42" s="4"/>
      <c r="G42" s="4"/>
      <c r="H42" s="4"/>
      <c r="I42" s="4"/>
      <c r="J42" s="4"/>
    </row>
    <row r="43" customFormat="false" ht="15" hidden="false" customHeight="true" outlineLevel="0" collapsed="false">
      <c r="B43" s="4" t="s">
        <v>32</v>
      </c>
      <c r="C43" s="4"/>
      <c r="D43" s="4"/>
      <c r="E43" s="4"/>
      <c r="F43" s="4"/>
      <c r="G43" s="4"/>
      <c r="H43" s="4"/>
      <c r="I43" s="4"/>
      <c r="J43" s="4"/>
    </row>
    <row r="44" customFormat="false" ht="15" hidden="false" customHeight="true" outlineLevel="0" collapsed="false">
      <c r="B44" s="4" t="s">
        <v>33</v>
      </c>
      <c r="C44" s="4"/>
      <c r="D44" s="4"/>
      <c r="E44" s="4"/>
      <c r="F44" s="4"/>
      <c r="G44" s="4"/>
      <c r="H44" s="4"/>
      <c r="I44" s="4"/>
      <c r="J44" s="4"/>
    </row>
    <row r="45" customFormat="false" ht="15" hidden="false" customHeight="true" outlineLevel="0" collapsed="false">
      <c r="B45" s="4"/>
      <c r="C45" s="4"/>
      <c r="D45" s="4"/>
      <c r="E45" s="4"/>
      <c r="F45" s="4"/>
      <c r="G45" s="4"/>
      <c r="H45" s="4"/>
      <c r="I45" s="4"/>
      <c r="J45" s="4"/>
    </row>
    <row r="46" customFormat="false" ht="15" hidden="false" customHeight="true" outlineLevel="0" collapsed="false">
      <c r="B46" s="4" t="s">
        <v>34</v>
      </c>
      <c r="C46" s="4"/>
      <c r="D46" s="4"/>
      <c r="E46" s="4"/>
      <c r="F46" s="4"/>
      <c r="G46" s="4"/>
      <c r="H46" s="4"/>
      <c r="I46" s="4"/>
      <c r="J46" s="4"/>
    </row>
    <row r="47" customFormat="false" ht="15" hidden="false" customHeight="true" outlineLevel="0" collapsed="false">
      <c r="B47" s="4" t="s">
        <v>35</v>
      </c>
      <c r="C47" s="4"/>
      <c r="D47" s="4"/>
      <c r="E47" s="4"/>
      <c r="F47" s="4"/>
      <c r="G47" s="4"/>
      <c r="H47" s="4"/>
      <c r="I47" s="4"/>
      <c r="J47" s="4"/>
    </row>
    <row r="48" customFormat="false" ht="15" hidden="false" customHeight="true" outlineLevel="0" collapsed="false">
      <c r="B48" s="4" t="s">
        <v>36</v>
      </c>
      <c r="C48" s="4"/>
      <c r="D48" s="4"/>
      <c r="E48" s="4"/>
      <c r="F48" s="4"/>
      <c r="G48" s="4"/>
      <c r="H48" s="4"/>
      <c r="I48" s="4"/>
      <c r="J48" s="4"/>
    </row>
    <row r="49" customFormat="false" ht="15" hidden="false" customHeight="true" outlineLevel="0" collapsed="false">
      <c r="B49" s="4" t="s">
        <v>37</v>
      </c>
      <c r="C49" s="4"/>
      <c r="D49" s="4"/>
      <c r="E49" s="4"/>
      <c r="F49" s="4"/>
      <c r="G49" s="4"/>
      <c r="H49" s="4"/>
      <c r="I49" s="4"/>
      <c r="J49" s="4"/>
    </row>
    <row r="50" customFormat="false" ht="15" hidden="false" customHeight="true" outlineLevel="0" collapsed="false">
      <c r="B50" s="4" t="s">
        <v>38</v>
      </c>
      <c r="C50" s="4"/>
      <c r="D50" s="4"/>
      <c r="E50" s="4"/>
      <c r="F50" s="4"/>
      <c r="G50" s="4"/>
      <c r="H50" s="4"/>
      <c r="I50" s="4"/>
      <c r="J50" s="4"/>
    </row>
    <row r="51" customFormat="false" ht="15" hidden="false" customHeight="true" outlineLevel="0" collapsed="false">
      <c r="B51" s="4"/>
      <c r="C51" s="4"/>
      <c r="D51" s="4"/>
      <c r="E51" s="4"/>
      <c r="F51" s="4"/>
      <c r="G51" s="4"/>
      <c r="H51" s="4"/>
      <c r="I51" s="4"/>
      <c r="J51" s="4"/>
    </row>
    <row r="52" customFormat="false" ht="15" hidden="false" customHeight="true" outlineLevel="0" collapsed="false">
      <c r="B52" s="3" t="s">
        <v>39</v>
      </c>
      <c r="C52" s="3"/>
      <c r="D52" s="3"/>
      <c r="E52" s="3"/>
      <c r="F52" s="3"/>
      <c r="G52" s="3"/>
      <c r="H52" s="3"/>
      <c r="I52" s="3"/>
      <c r="J52" s="3"/>
    </row>
    <row r="53" customFormat="false" ht="15" hidden="false" customHeight="true" outlineLevel="0" collapsed="false">
      <c r="B53" s="4"/>
      <c r="C53" s="4"/>
      <c r="D53" s="4"/>
      <c r="E53" s="4"/>
      <c r="F53" s="4"/>
      <c r="G53" s="4"/>
      <c r="H53" s="4"/>
      <c r="I53" s="4"/>
      <c r="J53" s="4"/>
    </row>
    <row r="54" customFormat="false" ht="15" hidden="false" customHeight="true" outlineLevel="0" collapsed="false">
      <c r="B54" s="4" t="s">
        <v>40</v>
      </c>
      <c r="C54" s="4"/>
      <c r="D54" s="4"/>
      <c r="E54" s="4"/>
      <c r="F54" s="4"/>
      <c r="G54" s="4"/>
      <c r="H54" s="4"/>
      <c r="I54" s="4"/>
      <c r="J54" s="4"/>
    </row>
    <row r="55" customFormat="false" ht="15" hidden="false" customHeight="true" outlineLevel="0" collapsed="false">
      <c r="B55" s="4" t="s">
        <v>41</v>
      </c>
      <c r="C55" s="4"/>
      <c r="D55" s="4"/>
      <c r="E55" s="4"/>
      <c r="F55" s="4"/>
      <c r="G55" s="4"/>
      <c r="H55" s="4"/>
      <c r="I55" s="4"/>
      <c r="J55" s="4"/>
    </row>
    <row r="56" customFormat="false" ht="15" hidden="false" customHeight="true" outlineLevel="0" collapsed="false">
      <c r="B56" s="4"/>
      <c r="C56" s="4"/>
      <c r="D56" s="4"/>
      <c r="E56" s="4"/>
      <c r="F56" s="4"/>
      <c r="G56" s="4"/>
      <c r="H56" s="4"/>
      <c r="I56" s="4"/>
      <c r="J56" s="4"/>
    </row>
    <row r="57" customFormat="false" ht="15" hidden="false" customHeight="true" outlineLevel="0" collapsed="false">
      <c r="B57" s="4" t="s">
        <v>42</v>
      </c>
      <c r="C57" s="4"/>
      <c r="D57" s="4"/>
      <c r="E57" s="4"/>
      <c r="F57" s="4"/>
      <c r="G57" s="4"/>
      <c r="H57" s="4"/>
      <c r="I57" s="4"/>
      <c r="J57" s="4"/>
    </row>
    <row r="58" customFormat="false" ht="15" hidden="false" customHeight="true" outlineLevel="0" collapsed="false">
      <c r="B58" s="4" t="s">
        <v>43</v>
      </c>
      <c r="C58" s="4"/>
      <c r="D58" s="4"/>
      <c r="E58" s="4"/>
      <c r="F58" s="4"/>
      <c r="G58" s="4"/>
      <c r="H58" s="4"/>
      <c r="I58" s="4"/>
      <c r="J58" s="4"/>
    </row>
    <row r="59" customFormat="false" ht="15" hidden="false" customHeight="true" outlineLevel="0" collapsed="false">
      <c r="B59" s="4" t="s">
        <v>44</v>
      </c>
      <c r="C59" s="4"/>
      <c r="D59" s="4"/>
      <c r="E59" s="4"/>
      <c r="F59" s="4"/>
      <c r="G59" s="4"/>
      <c r="H59" s="4"/>
      <c r="I59" s="4"/>
      <c r="J59" s="4"/>
    </row>
    <row r="60" customFormat="false" ht="15" hidden="false" customHeight="true" outlineLevel="0" collapsed="false">
      <c r="B60" s="4" t="s">
        <v>45</v>
      </c>
      <c r="C60" s="4"/>
      <c r="D60" s="4"/>
      <c r="E60" s="4"/>
      <c r="F60" s="4"/>
      <c r="G60" s="4"/>
      <c r="H60" s="4"/>
      <c r="I60" s="4"/>
      <c r="J60" s="4"/>
    </row>
    <row r="61" customFormat="false" ht="15" hidden="false" customHeight="true" outlineLevel="0" collapsed="false">
      <c r="B61" s="4"/>
      <c r="C61" s="4"/>
      <c r="D61" s="4"/>
      <c r="E61" s="4"/>
      <c r="F61" s="4"/>
      <c r="G61" s="4"/>
      <c r="H61" s="4"/>
      <c r="I61" s="4"/>
      <c r="J61" s="4"/>
    </row>
    <row r="62" customFormat="false" ht="15" hidden="false" customHeight="true" outlineLevel="0" collapsed="false">
      <c r="B62" s="4" t="s">
        <v>46</v>
      </c>
      <c r="C62" s="4"/>
      <c r="D62" s="4"/>
      <c r="E62" s="4"/>
      <c r="F62" s="4"/>
      <c r="G62" s="4"/>
      <c r="H62" s="4"/>
      <c r="I62" s="4"/>
      <c r="J62" s="4"/>
    </row>
    <row r="63" customFormat="false" ht="15" hidden="false" customHeight="true" outlineLevel="0" collapsed="false">
      <c r="B63" s="4" t="s">
        <v>47</v>
      </c>
      <c r="C63" s="4"/>
      <c r="D63" s="4"/>
      <c r="E63" s="4"/>
      <c r="F63" s="4"/>
      <c r="G63" s="4"/>
      <c r="H63" s="4"/>
      <c r="I63" s="4"/>
      <c r="J63" s="4"/>
    </row>
    <row r="64" customFormat="false" ht="15" hidden="false" customHeight="true" outlineLevel="0" collapsed="false">
      <c r="B64" s="4"/>
      <c r="C64" s="4"/>
      <c r="D64" s="4"/>
      <c r="E64" s="4"/>
      <c r="F64" s="4"/>
      <c r="G64" s="4"/>
      <c r="H64" s="4"/>
      <c r="I64" s="4"/>
      <c r="J64" s="4"/>
    </row>
    <row r="65" customFormat="false" ht="15" hidden="false" customHeight="true" outlineLevel="0" collapsed="false">
      <c r="B65" s="4" t="s">
        <v>48</v>
      </c>
      <c r="C65" s="4"/>
      <c r="D65" s="4"/>
      <c r="E65" s="4"/>
      <c r="F65" s="4"/>
      <c r="G65" s="4"/>
      <c r="H65" s="4"/>
      <c r="I65" s="4"/>
      <c r="J65" s="4"/>
    </row>
    <row r="66" customFormat="false" ht="15" hidden="false" customHeight="true" outlineLevel="0" collapsed="false">
      <c r="B66" s="4" t="s">
        <v>49</v>
      </c>
      <c r="C66" s="4"/>
      <c r="D66" s="4"/>
      <c r="E66" s="4"/>
      <c r="F66" s="4"/>
      <c r="G66" s="4"/>
      <c r="H66" s="4"/>
      <c r="I66" s="4"/>
      <c r="J66" s="4"/>
    </row>
    <row r="67" customFormat="false" ht="15" hidden="false" customHeight="true" outlineLevel="0" collapsed="false">
      <c r="B67" s="4" t="s">
        <v>50</v>
      </c>
      <c r="C67" s="4"/>
      <c r="D67" s="4"/>
      <c r="E67" s="4"/>
      <c r="F67" s="4"/>
      <c r="G67" s="4"/>
      <c r="H67" s="4"/>
      <c r="I67" s="4"/>
      <c r="J67" s="4"/>
    </row>
    <row r="68" customFormat="false" ht="15" hidden="false" customHeight="true" outlineLevel="0" collapsed="false">
      <c r="B68" s="4"/>
      <c r="C68" s="4"/>
      <c r="D68" s="4"/>
      <c r="E68" s="4"/>
      <c r="F68" s="4"/>
      <c r="G68" s="4"/>
      <c r="H68" s="4"/>
      <c r="I68" s="4"/>
      <c r="J68" s="4"/>
    </row>
    <row r="69" customFormat="false" ht="15" hidden="false" customHeight="true" outlineLevel="0" collapsed="false">
      <c r="B69" s="3" t="s">
        <v>51</v>
      </c>
      <c r="C69" s="3"/>
      <c r="D69" s="3"/>
      <c r="E69" s="3"/>
      <c r="F69" s="3"/>
      <c r="G69" s="3"/>
      <c r="H69" s="3"/>
      <c r="I69" s="3"/>
      <c r="J69" s="3"/>
    </row>
    <row r="70" customFormat="false" ht="15" hidden="false" customHeight="true" outlineLevel="0" collapsed="false">
      <c r="B70" s="4"/>
      <c r="C70" s="4"/>
      <c r="D70" s="4"/>
      <c r="E70" s="4"/>
      <c r="F70" s="4"/>
      <c r="G70" s="4"/>
      <c r="H70" s="4"/>
      <c r="I70" s="4"/>
      <c r="J70" s="4"/>
    </row>
    <row r="71" customFormat="false" ht="15" hidden="false" customHeight="true" outlineLevel="0" collapsed="false">
      <c r="B71" s="4" t="s">
        <v>52</v>
      </c>
      <c r="C71" s="4"/>
      <c r="D71" s="4"/>
      <c r="E71" s="4"/>
      <c r="F71" s="4"/>
      <c r="G71" s="4"/>
      <c r="H71" s="4"/>
      <c r="I71" s="4"/>
      <c r="J71" s="4"/>
    </row>
    <row r="72" customFormat="false" ht="15" hidden="false" customHeight="true" outlineLevel="0" collapsed="false">
      <c r="B72" s="4" t="s">
        <v>53</v>
      </c>
      <c r="C72" s="4"/>
      <c r="D72" s="4"/>
      <c r="E72" s="4"/>
      <c r="F72" s="4"/>
      <c r="G72" s="4"/>
      <c r="H72" s="4"/>
      <c r="I72" s="4"/>
      <c r="J72" s="4"/>
    </row>
    <row r="73" customFormat="false" ht="15" hidden="false" customHeight="true" outlineLevel="0" collapsed="false">
      <c r="B73" s="4" t="s">
        <v>54</v>
      </c>
      <c r="C73" s="4"/>
      <c r="D73" s="4"/>
      <c r="E73" s="4"/>
      <c r="F73" s="4"/>
      <c r="G73" s="4"/>
      <c r="H73" s="4"/>
      <c r="I73" s="4"/>
      <c r="J73" s="4"/>
    </row>
    <row r="74" customFormat="false" ht="15" hidden="false" customHeight="true" outlineLevel="0" collapsed="false">
      <c r="B74" s="4" t="s">
        <v>55</v>
      </c>
      <c r="C74" s="4"/>
      <c r="D74" s="4"/>
      <c r="E74" s="4"/>
      <c r="F74" s="4"/>
      <c r="G74" s="4"/>
      <c r="H74" s="4"/>
      <c r="I74" s="4"/>
      <c r="J74" s="4"/>
    </row>
    <row r="75" customFormat="false" ht="15" hidden="false" customHeight="true" outlineLevel="0" collapsed="false">
      <c r="B75" s="4"/>
      <c r="C75" s="4"/>
      <c r="D75" s="4"/>
      <c r="E75" s="4"/>
      <c r="F75" s="4"/>
      <c r="G75" s="4"/>
      <c r="H75" s="4"/>
      <c r="I75" s="4"/>
      <c r="J75" s="4"/>
    </row>
    <row r="76" customFormat="false" ht="15" hidden="false" customHeight="true" outlineLevel="0" collapsed="false">
      <c r="B76" s="4" t="s">
        <v>56</v>
      </c>
      <c r="C76" s="4"/>
      <c r="D76" s="4"/>
      <c r="E76" s="4"/>
      <c r="F76" s="4"/>
      <c r="G76" s="4"/>
      <c r="H76" s="4"/>
      <c r="I76" s="4"/>
      <c r="J76" s="4"/>
    </row>
    <row r="77" customFormat="false" ht="15" hidden="false" customHeight="true" outlineLevel="0" collapsed="false">
      <c r="B77" s="4" t="s">
        <v>57</v>
      </c>
      <c r="C77" s="4"/>
      <c r="D77" s="4"/>
      <c r="E77" s="4"/>
      <c r="F77" s="4"/>
      <c r="G77" s="4"/>
      <c r="H77" s="4"/>
      <c r="I77" s="4"/>
      <c r="J77" s="4"/>
    </row>
    <row r="78" customFormat="false" ht="15" hidden="false" customHeight="true" outlineLevel="0" collapsed="false">
      <c r="B78" s="4"/>
      <c r="C78" s="4"/>
      <c r="D78" s="4"/>
      <c r="E78" s="4"/>
      <c r="F78" s="4"/>
      <c r="G78" s="4"/>
      <c r="H78" s="4"/>
      <c r="I78" s="4"/>
      <c r="J78" s="4"/>
    </row>
    <row r="79" customFormat="false" ht="15" hidden="false" customHeight="true" outlineLevel="0" collapsed="false">
      <c r="B79" s="3" t="s">
        <v>58</v>
      </c>
      <c r="C79" s="3"/>
      <c r="D79" s="3"/>
      <c r="E79" s="3"/>
      <c r="F79" s="3"/>
      <c r="G79" s="3"/>
      <c r="H79" s="3"/>
      <c r="I79" s="3"/>
      <c r="J79" s="3"/>
    </row>
    <row r="80" customFormat="false" ht="15" hidden="false" customHeight="true" outlineLevel="0" collapsed="false">
      <c r="B80" s="4"/>
      <c r="C80" s="4"/>
      <c r="D80" s="4"/>
      <c r="E80" s="4"/>
      <c r="F80" s="4"/>
      <c r="G80" s="4"/>
      <c r="H80" s="4"/>
      <c r="I80" s="4"/>
      <c r="J80" s="4"/>
    </row>
    <row r="81" customFormat="false" ht="15" hidden="false" customHeight="true" outlineLevel="0" collapsed="false">
      <c r="B81" s="4" t="s">
        <v>59</v>
      </c>
      <c r="C81" s="4"/>
      <c r="D81" s="4"/>
      <c r="E81" s="4"/>
      <c r="F81" s="4"/>
      <c r="G81" s="4"/>
      <c r="H81" s="4"/>
      <c r="I81" s="4"/>
      <c r="J81" s="4"/>
    </row>
    <row r="82" customFormat="false" ht="15" hidden="false" customHeight="true" outlineLevel="0" collapsed="false">
      <c r="B82" s="4" t="s">
        <v>60</v>
      </c>
      <c r="C82" s="4"/>
      <c r="D82" s="4"/>
      <c r="E82" s="4"/>
      <c r="F82" s="4"/>
      <c r="G82" s="4"/>
      <c r="H82" s="4"/>
      <c r="I82" s="4"/>
      <c r="J82" s="4"/>
    </row>
    <row r="83" customFormat="false" ht="15" hidden="false" customHeight="true" outlineLevel="0" collapsed="false">
      <c r="B83" s="4" t="s">
        <v>61</v>
      </c>
      <c r="C83" s="4"/>
      <c r="D83" s="4"/>
      <c r="E83" s="4"/>
      <c r="F83" s="4"/>
      <c r="G83" s="4"/>
      <c r="H83" s="4"/>
      <c r="I83" s="4"/>
      <c r="J83" s="4"/>
    </row>
    <row r="84" customFormat="false" ht="15" hidden="false" customHeight="true" outlineLevel="0" collapsed="false">
      <c r="B84" s="4" t="s">
        <v>62</v>
      </c>
      <c r="C84" s="4"/>
      <c r="D84" s="4"/>
      <c r="E84" s="4"/>
      <c r="F84" s="4"/>
      <c r="G84" s="4"/>
      <c r="H84" s="4"/>
      <c r="I84" s="4"/>
      <c r="J84" s="4"/>
    </row>
    <row r="85" customFormat="false" ht="15" hidden="false" customHeight="true" outlineLevel="0" collapsed="false">
      <c r="B85" s="4" t="s">
        <v>63</v>
      </c>
      <c r="C85" s="4"/>
      <c r="D85" s="4"/>
      <c r="E85" s="4"/>
      <c r="F85" s="4"/>
      <c r="G85" s="4"/>
      <c r="H85" s="4"/>
      <c r="I85" s="4"/>
      <c r="J85" s="4"/>
    </row>
    <row r="86" customFormat="false" ht="15" hidden="false" customHeight="true" outlineLevel="0" collapsed="false">
      <c r="B86" s="4" t="s">
        <v>64</v>
      </c>
      <c r="C86" s="4"/>
      <c r="D86" s="4"/>
      <c r="E86" s="4"/>
      <c r="F86" s="4"/>
      <c r="G86" s="4"/>
      <c r="H86" s="4"/>
      <c r="I86" s="4"/>
      <c r="J86" s="4"/>
    </row>
    <row r="87" customFormat="false" ht="15" hidden="false" customHeight="true" outlineLevel="0" collapsed="false">
      <c r="B87" s="4" t="s">
        <v>65</v>
      </c>
      <c r="C87" s="4"/>
      <c r="D87" s="4"/>
      <c r="E87" s="4"/>
      <c r="F87" s="4"/>
      <c r="G87" s="4"/>
      <c r="H87" s="4"/>
      <c r="I87" s="4"/>
      <c r="J87" s="4"/>
    </row>
    <row r="88" customFormat="false" ht="15" hidden="false" customHeight="true" outlineLevel="0" collapsed="false">
      <c r="B88" s="4"/>
      <c r="C88" s="4"/>
      <c r="D88" s="4"/>
      <c r="E88" s="4"/>
      <c r="F88" s="4"/>
      <c r="G88" s="4"/>
      <c r="H88" s="4"/>
      <c r="I88" s="4"/>
      <c r="J88" s="4"/>
    </row>
    <row r="89" customFormat="false" ht="15" hidden="false" customHeight="true" outlineLevel="0" collapsed="false">
      <c r="B89" s="4" t="s">
        <v>66</v>
      </c>
      <c r="C89" s="4"/>
      <c r="D89" s="4"/>
      <c r="E89" s="4"/>
      <c r="F89" s="4"/>
      <c r="G89" s="4"/>
      <c r="H89" s="4"/>
      <c r="I89" s="4"/>
      <c r="J89" s="4"/>
    </row>
    <row r="90" customFormat="false" ht="15" hidden="false" customHeight="true" outlineLevel="0" collapsed="false">
      <c r="B90" s="4" t="s">
        <v>67</v>
      </c>
      <c r="C90" s="4"/>
      <c r="D90" s="4"/>
      <c r="E90" s="4"/>
      <c r="F90" s="4"/>
      <c r="G90" s="4"/>
      <c r="H90" s="4"/>
      <c r="I90" s="4"/>
      <c r="J90" s="4"/>
    </row>
  </sheetData>
  <mergeCells count="87">
    <mergeCell ref="B2:J2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  <mergeCell ref="B28:J28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6:J46"/>
    <mergeCell ref="B47:J47"/>
    <mergeCell ref="B48:J48"/>
    <mergeCell ref="B49:J49"/>
    <mergeCell ref="B50:J50"/>
    <mergeCell ref="B51:J51"/>
    <mergeCell ref="B52:J52"/>
    <mergeCell ref="B53:J53"/>
    <mergeCell ref="B54:J54"/>
    <mergeCell ref="B55:J55"/>
    <mergeCell ref="B56:J56"/>
    <mergeCell ref="B57:J57"/>
    <mergeCell ref="B58:J58"/>
    <mergeCell ref="B59:J59"/>
    <mergeCell ref="B60:J60"/>
    <mergeCell ref="B61:J61"/>
    <mergeCell ref="B62:J62"/>
    <mergeCell ref="B63:J63"/>
    <mergeCell ref="B64:J64"/>
    <mergeCell ref="B65:J65"/>
    <mergeCell ref="B66:J66"/>
    <mergeCell ref="B67:J67"/>
    <mergeCell ref="B68:J68"/>
    <mergeCell ref="B69:J69"/>
    <mergeCell ref="B70:J70"/>
    <mergeCell ref="B71:J71"/>
    <mergeCell ref="B72:J72"/>
    <mergeCell ref="B73:J73"/>
    <mergeCell ref="B74:J74"/>
    <mergeCell ref="B75:J75"/>
    <mergeCell ref="B76:J76"/>
    <mergeCell ref="B77:J77"/>
    <mergeCell ref="B78:J78"/>
    <mergeCell ref="B79:J79"/>
    <mergeCell ref="B80:J80"/>
    <mergeCell ref="B81:J81"/>
    <mergeCell ref="B82:J82"/>
    <mergeCell ref="B83:J83"/>
    <mergeCell ref="B84:J84"/>
    <mergeCell ref="B85:J85"/>
    <mergeCell ref="B86:J86"/>
    <mergeCell ref="B87:J87"/>
    <mergeCell ref="B88:J88"/>
    <mergeCell ref="B89:J89"/>
    <mergeCell ref="B90:J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5"/>
    <col collapsed="false" customWidth="true" hidden="false" outlineLevel="0" max="3" min="3" style="1" width="80"/>
  </cols>
  <sheetData>
    <row r="2" customFormat="false" ht="19.5" hidden="false" customHeight="true" outlineLevel="0" collapsed="false">
      <c r="B2" s="5" t="s">
        <v>0</v>
      </c>
      <c r="C2" s="5"/>
      <c r="D2" s="5"/>
      <c r="E2" s="5"/>
      <c r="F2" s="5"/>
      <c r="G2" s="5"/>
      <c r="H2" s="5"/>
    </row>
    <row r="4" customFormat="false" ht="15" hidden="false" customHeight="true" outlineLevel="0" collapsed="false">
      <c r="B4" s="6" t="s">
        <v>68</v>
      </c>
      <c r="C4" s="1" t="s">
        <v>69</v>
      </c>
    </row>
    <row r="5" customFormat="false" ht="15" hidden="false" customHeight="true" outlineLevel="0" collapsed="false">
      <c r="B5" s="6"/>
    </row>
    <row r="6" customFormat="false" ht="15" hidden="false" customHeight="true" outlineLevel="0" collapsed="false">
      <c r="B6" s="6" t="s">
        <v>70</v>
      </c>
    </row>
    <row r="7" customFormat="false" ht="15" hidden="false" customHeight="true" outlineLevel="0" collapsed="false">
      <c r="B7" s="6" t="s">
        <v>71</v>
      </c>
      <c r="C7" s="1" t="s">
        <v>72</v>
      </c>
    </row>
    <row r="8" customFormat="false" ht="15" hidden="false" customHeight="true" outlineLevel="0" collapsed="false">
      <c r="B8" s="6" t="s">
        <v>73</v>
      </c>
      <c r="C8" s="1" t="s">
        <v>74</v>
      </c>
    </row>
    <row r="9" customFormat="false" ht="15" hidden="false" customHeight="true" outlineLevel="0" collapsed="false">
      <c r="B9" s="6" t="s">
        <v>75</v>
      </c>
      <c r="C9" s="1" t="s">
        <v>76</v>
      </c>
    </row>
    <row r="10" customFormat="false" ht="15" hidden="false" customHeight="true" outlineLevel="0" collapsed="false">
      <c r="B10" s="6" t="s">
        <v>77</v>
      </c>
      <c r="C10" s="1" t="s">
        <v>78</v>
      </c>
    </row>
    <row r="11" customFormat="false" ht="15" hidden="false" customHeight="true" outlineLevel="0" collapsed="false">
      <c r="B11" s="6" t="s">
        <v>79</v>
      </c>
      <c r="C11" s="1" t="s">
        <v>80</v>
      </c>
    </row>
    <row r="12" customFormat="false" ht="15" hidden="false" customHeight="true" outlineLevel="0" collapsed="false">
      <c r="B12" s="6" t="s">
        <v>81</v>
      </c>
      <c r="C12" s="1" t="s">
        <v>82</v>
      </c>
    </row>
    <row r="13" customFormat="false" ht="15" hidden="false" customHeight="true" outlineLevel="0" collapsed="false">
      <c r="B13" s="6" t="s">
        <v>83</v>
      </c>
      <c r="C13" s="1" t="s">
        <v>84</v>
      </c>
    </row>
    <row r="14" customFormat="false" ht="15" hidden="false" customHeight="true" outlineLevel="0" collapsed="false">
      <c r="B14" s="6" t="s">
        <v>85</v>
      </c>
      <c r="C14" s="1" t="s">
        <v>86</v>
      </c>
    </row>
    <row r="15" customFormat="false" ht="15" hidden="false" customHeight="true" outlineLevel="0" collapsed="false">
      <c r="B15" s="6" t="s">
        <v>87</v>
      </c>
      <c r="C15" s="1" t="s">
        <v>88</v>
      </c>
    </row>
    <row r="16" customFormat="false" ht="15" hidden="false" customHeight="true" outlineLevel="0" collapsed="false">
      <c r="B16" s="6" t="s">
        <v>89</v>
      </c>
      <c r="C16" s="1" t="s">
        <v>90</v>
      </c>
    </row>
    <row r="17" customFormat="false" ht="15" hidden="false" customHeight="true" outlineLevel="0" collapsed="false">
      <c r="B17" s="6"/>
    </row>
    <row r="18" customFormat="false" ht="15" hidden="false" customHeight="true" outlineLevel="0" collapsed="false">
      <c r="B18" s="6" t="s">
        <v>91</v>
      </c>
    </row>
    <row r="19" customFormat="false" ht="15" hidden="false" customHeight="true" outlineLevel="0" collapsed="false">
      <c r="B19" s="6" t="s">
        <v>92</v>
      </c>
    </row>
    <row r="20" customFormat="false" ht="15" hidden="false" customHeight="true" outlineLevel="0" collapsed="false">
      <c r="B20" s="6" t="s">
        <v>93</v>
      </c>
    </row>
    <row r="21" customFormat="false" ht="15" hidden="false" customHeight="true" outlineLevel="0" collapsed="false">
      <c r="B21" s="6" t="s">
        <v>94</v>
      </c>
    </row>
    <row r="22" customFormat="false" ht="15" hidden="false" customHeight="true" outlineLevel="0" collapsed="false">
      <c r="B22" s="6"/>
    </row>
    <row r="23" customFormat="false" ht="15" hidden="false" customHeight="true" outlineLevel="0" collapsed="false">
      <c r="B23" s="6" t="s">
        <v>95</v>
      </c>
    </row>
    <row r="24" customFormat="false" ht="15" hidden="false" customHeight="true" outlineLevel="0" collapsed="false">
      <c r="B24" s="6" t="s">
        <v>96</v>
      </c>
      <c r="C24" s="1" t="s">
        <v>97</v>
      </c>
    </row>
    <row r="25" customFormat="false" ht="15" hidden="false" customHeight="true" outlineLevel="0" collapsed="false">
      <c r="B25" s="6" t="s">
        <v>98</v>
      </c>
      <c r="C25" s="1" t="s">
        <v>99</v>
      </c>
    </row>
    <row r="26" customFormat="false" ht="15" hidden="false" customHeight="true" outlineLevel="0" collapsed="false">
      <c r="B26" s="6" t="s">
        <v>100</v>
      </c>
      <c r="C26" s="1" t="s">
        <v>101</v>
      </c>
    </row>
    <row r="27" customFormat="false" ht="15" hidden="false" customHeight="true" outlineLevel="0" collapsed="false">
      <c r="B27" s="6" t="s">
        <v>102</v>
      </c>
      <c r="C27" s="1" t="s">
        <v>103</v>
      </c>
    </row>
    <row r="28" customFormat="false" ht="15" hidden="false" customHeight="true" outlineLevel="0" collapsed="false">
      <c r="B28" s="6" t="s">
        <v>104</v>
      </c>
      <c r="C28" s="1" t="s">
        <v>105</v>
      </c>
    </row>
    <row r="29" customFormat="false" ht="15" hidden="false" customHeight="true" outlineLevel="0" collapsed="false">
      <c r="B29" s="6"/>
    </row>
    <row r="30" customFormat="false" ht="15" hidden="false" customHeight="true" outlineLevel="0" collapsed="false">
      <c r="B30" s="6" t="s">
        <v>106</v>
      </c>
    </row>
    <row r="31" customFormat="false" ht="15" hidden="false" customHeight="true" outlineLevel="0" collapsed="false">
      <c r="B31" s="6"/>
      <c r="C31" s="1" t="s">
        <v>107</v>
      </c>
    </row>
    <row r="32" customFormat="false" ht="15" hidden="false" customHeight="true" outlineLevel="0" collapsed="false">
      <c r="B32" s="6"/>
      <c r="C32" s="1" t="s">
        <v>108</v>
      </c>
    </row>
    <row r="33" customFormat="false" ht="15" hidden="false" customHeight="true" outlineLevel="0" collapsed="false">
      <c r="B33" s="6"/>
      <c r="C33" s="1" t="s">
        <v>109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1" width="15"/>
  </cols>
  <sheetData>
    <row r="2" customFormat="false" ht="19.5" hidden="false" customHeight="true" outlineLevel="0" collapsed="false">
      <c r="B2" s="5" t="s">
        <v>110</v>
      </c>
      <c r="C2" s="5"/>
      <c r="D2" s="5"/>
      <c r="E2" s="5"/>
      <c r="F2" s="5"/>
      <c r="G2" s="5"/>
      <c r="H2" s="5"/>
      <c r="I2" s="5"/>
      <c r="J2" s="5"/>
      <c r="K2" s="5"/>
    </row>
    <row r="4" customFormat="false" ht="15" hidden="false" customHeight="true" outlineLevel="0" collapsed="false">
      <c r="B4" s="7" t="s">
        <v>111</v>
      </c>
      <c r="C4" s="7"/>
      <c r="D4" s="7"/>
      <c r="E4" s="7"/>
      <c r="G4" s="7" t="s">
        <v>112</v>
      </c>
      <c r="H4" s="7"/>
      <c r="I4" s="7"/>
      <c r="J4" s="7"/>
    </row>
    <row r="5" customFormat="false" ht="15" hidden="false" customHeight="true" outlineLevel="0" collapsed="false">
      <c r="B5" s="1" t="s">
        <v>113</v>
      </c>
      <c r="C5" s="8" t="s">
        <v>114</v>
      </c>
      <c r="G5" s="1" t="s">
        <v>115</v>
      </c>
      <c r="H5" s="9" t="n">
        <f aca="false">COUNTA('Master Checklist'!B11:B500)</f>
        <v>140</v>
      </c>
    </row>
    <row r="6" customFormat="false" ht="15" hidden="false" customHeight="true" outlineLevel="0" collapsed="false">
      <c r="B6" s="1" t="s">
        <v>116</v>
      </c>
      <c r="C6" s="8" t="s">
        <v>117</v>
      </c>
      <c r="G6" s="1" t="s">
        <v>118</v>
      </c>
      <c r="H6" s="9" t="n">
        <f aca="false">COUNTIF('Master Checklist'!J11:J500,"Complete")</f>
        <v>0</v>
      </c>
    </row>
    <row r="7" customFormat="false" ht="15" hidden="false" customHeight="true" outlineLevel="0" collapsed="false">
      <c r="B7" s="1" t="s">
        <v>119</v>
      </c>
      <c r="C7" s="10" t="n">
        <v>0</v>
      </c>
      <c r="G7" s="1" t="s">
        <v>120</v>
      </c>
      <c r="H7" s="9" t="n">
        <f aca="false">COUNTIF('Master Checklist'!J11:J500,"In Progress")</f>
        <v>0</v>
      </c>
    </row>
    <row r="8" customFormat="false" ht="15" hidden="false" customHeight="true" outlineLevel="0" collapsed="false">
      <c r="B8" s="1" t="s">
        <v>121</v>
      </c>
      <c r="C8" s="11" t="n">
        <v>45959.4449854282</v>
      </c>
      <c r="G8" s="1" t="s">
        <v>122</v>
      </c>
      <c r="H8" s="9" t="n">
        <f aca="false">COUNTIF('Master Checklist'!J11:J500,"Not Started")</f>
        <v>0</v>
      </c>
    </row>
    <row r="9" customFormat="false" ht="15" hidden="false" customHeight="true" outlineLevel="0" collapsed="false">
      <c r="B9" s="1" t="s">
        <v>123</v>
      </c>
      <c r="C9" s="11" t="n">
        <v>46019.4449854282</v>
      </c>
      <c r="G9" s="1" t="s">
        <v>124</v>
      </c>
      <c r="H9" s="12" t="n">
        <f aca="false">IFERROR(H6/H5,0)</f>
        <v>0</v>
      </c>
    </row>
    <row r="10" customFormat="false" ht="15" hidden="false" customHeight="true" outlineLevel="0" collapsed="false">
      <c r="B10" s="1" t="s">
        <v>125</v>
      </c>
      <c r="C10" s="13" t="n">
        <f aca="false">C9-C8</f>
        <v>60</v>
      </c>
    </row>
    <row r="11" customFormat="false" ht="15" hidden="false" customHeight="true" outlineLevel="0" collapsed="false">
      <c r="B11" s="1" t="s">
        <v>126</v>
      </c>
      <c r="C11" s="8" t="s">
        <v>127</v>
      </c>
    </row>
    <row r="14" customFormat="false" ht="15" hidden="false" customHeight="true" outlineLevel="0" collapsed="false">
      <c r="B14" s="7" t="s">
        <v>128</v>
      </c>
      <c r="C14" s="7"/>
      <c r="D14" s="7"/>
      <c r="E14" s="7"/>
      <c r="F14" s="7"/>
      <c r="G14" s="7"/>
      <c r="H14" s="7"/>
      <c r="I14" s="7"/>
      <c r="J14" s="7"/>
    </row>
    <row r="15" customFormat="false" ht="15" hidden="false" customHeight="true" outlineLevel="0" collapsed="false">
      <c r="B15" s="14" t="s">
        <v>129</v>
      </c>
      <c r="C15" s="14" t="s">
        <v>130</v>
      </c>
      <c r="D15" s="14" t="s">
        <v>131</v>
      </c>
      <c r="E15" s="14" t="s">
        <v>132</v>
      </c>
      <c r="F15" s="14" t="s">
        <v>133</v>
      </c>
      <c r="G15" s="14" t="s">
        <v>134</v>
      </c>
      <c r="H15" s="14" t="s">
        <v>135</v>
      </c>
    </row>
    <row r="16" customFormat="false" ht="17.25" hidden="false" customHeight="true" outlineLevel="0" collapsed="false">
      <c r="B16" s="1" t="s">
        <v>136</v>
      </c>
      <c r="C16" s="9" t="n">
        <f aca="false">COUNTIF('Master Checklist'!$C$11:$C$500,"Financial DD")</f>
        <v>0</v>
      </c>
      <c r="D16" s="9" t="n">
        <f aca="false">COUNTIFS('Master Checklist'!$C$11:$C$500,"Financial DD",'Master Checklist'!$J$11:$J$500,"Complete")</f>
        <v>0</v>
      </c>
      <c r="E16" s="9" t="n">
        <f aca="false">COUNTIFS('Master Checklist'!$C$11:$C$500,"Financial DD",'Master Checklist'!$J$11:$J$500,"In Progress")</f>
        <v>0</v>
      </c>
      <c r="F16" s="9" t="n">
        <f aca="false">COUNTIFS('Master Checklist'!$C$11:$C$500,"Financial DD",'Master Checklist'!$J$11:$J$500,"Not Started")</f>
        <v>0</v>
      </c>
      <c r="G16" s="15" t="n">
        <f aca="false">IFERROR(D16/C16,0)</f>
        <v>0</v>
      </c>
      <c r="H16" s="16" t="str">
        <f aca="false">IF(G16&gt;=0.9,"✓",IF(G16&gt;=0.5,"!","✗"))</f>
        <v>✗</v>
      </c>
    </row>
    <row r="17" customFormat="false" ht="17.25" hidden="false" customHeight="true" outlineLevel="0" collapsed="false">
      <c r="B17" s="1" t="s">
        <v>137</v>
      </c>
      <c r="C17" s="9" t="n">
        <f aca="false">COUNTIF('Master Checklist'!$C$11:$C$500,"Legal &amp; Regulatory")</f>
        <v>0</v>
      </c>
      <c r="D17" s="9" t="n">
        <f aca="false">COUNTIFS('Master Checklist'!$C$11:$C$500,"Legal &amp; Regulatory",'Master Checklist'!$J$11:$J$500,"Complete")</f>
        <v>0</v>
      </c>
      <c r="E17" s="9" t="n">
        <f aca="false">COUNTIFS('Master Checklist'!$C$11:$C$500,"Legal &amp; Regulatory",'Master Checklist'!$J$11:$J$500,"In Progress")</f>
        <v>0</v>
      </c>
      <c r="F17" s="9" t="n">
        <f aca="false">COUNTIFS('Master Checklist'!$C$11:$C$500,"Legal &amp; Regulatory",'Master Checklist'!$J$11:$J$500,"Not Started")</f>
        <v>0</v>
      </c>
      <c r="G17" s="15" t="n">
        <f aca="false">IFERROR(D17/C17,0)</f>
        <v>0</v>
      </c>
      <c r="H17" s="16" t="str">
        <f aca="false">IF(G17&gt;=0.9,"✓",IF(G17&gt;=0.5,"!","✗"))</f>
        <v>✗</v>
      </c>
    </row>
    <row r="18" customFormat="false" ht="17.25" hidden="false" customHeight="true" outlineLevel="0" collapsed="false">
      <c r="B18" s="1" t="s">
        <v>138</v>
      </c>
      <c r="C18" s="9" t="n">
        <f aca="false">COUNTIF('Master Checklist'!$C$11:$C$500,"Commercial DD")</f>
        <v>0</v>
      </c>
      <c r="D18" s="9" t="n">
        <f aca="false">COUNTIFS('Master Checklist'!$C$11:$C$500,"Commercial DD",'Master Checklist'!$J$11:$J$500,"Complete")</f>
        <v>0</v>
      </c>
      <c r="E18" s="9" t="n">
        <f aca="false">COUNTIFS('Master Checklist'!$C$11:$C$500,"Commercial DD",'Master Checklist'!$J$11:$J$500,"In Progress")</f>
        <v>0</v>
      </c>
      <c r="F18" s="9" t="n">
        <f aca="false">COUNTIFS('Master Checklist'!$C$11:$C$500,"Commercial DD",'Master Checklist'!$J$11:$J$500,"Not Started")</f>
        <v>0</v>
      </c>
      <c r="G18" s="15" t="n">
        <f aca="false">IFERROR(D18/C18,0)</f>
        <v>0</v>
      </c>
      <c r="H18" s="16" t="str">
        <f aca="false">IF(G18&gt;=0.9,"✓",IF(G18&gt;=0.5,"!","✗"))</f>
        <v>✗</v>
      </c>
    </row>
    <row r="19" customFormat="false" ht="17.25" hidden="false" customHeight="true" outlineLevel="0" collapsed="false">
      <c r="B19" s="1" t="s">
        <v>139</v>
      </c>
      <c r="C19" s="9" t="n">
        <f aca="false">COUNTIF('Master Checklist'!$C$11:$C$500,"Operational DD")</f>
        <v>0</v>
      </c>
      <c r="D19" s="9" t="n">
        <f aca="false">COUNTIFS('Master Checklist'!$C$11:$C$500,"Operational DD",'Master Checklist'!$J$11:$J$500,"Complete")</f>
        <v>0</v>
      </c>
      <c r="E19" s="9" t="n">
        <f aca="false">COUNTIFS('Master Checklist'!$C$11:$C$500,"Operational DD",'Master Checklist'!$J$11:$J$500,"In Progress")</f>
        <v>0</v>
      </c>
      <c r="F19" s="9" t="n">
        <f aca="false">COUNTIFS('Master Checklist'!$C$11:$C$500,"Operational DD",'Master Checklist'!$J$11:$J$500,"Not Started")</f>
        <v>0</v>
      </c>
      <c r="G19" s="15" t="n">
        <f aca="false">IFERROR(D19/C19,0)</f>
        <v>0</v>
      </c>
      <c r="H19" s="16" t="str">
        <f aca="false">IF(G19&gt;=0.9,"✓",IF(G19&gt;=0.5,"!","✗"))</f>
        <v>✗</v>
      </c>
    </row>
    <row r="20" customFormat="false" ht="17.25" hidden="false" customHeight="true" outlineLevel="0" collapsed="false">
      <c r="B20" s="1" t="s">
        <v>140</v>
      </c>
      <c r="C20" s="9" t="n">
        <f aca="false">COUNTIF('Master Checklist'!$C$11:$C$500,"IT / Technology")</f>
        <v>0</v>
      </c>
      <c r="D20" s="9" t="n">
        <f aca="false">COUNTIFS('Master Checklist'!$C$11:$C$500,"IT / Technology",'Master Checklist'!$J$11:$J$500,"Complete")</f>
        <v>0</v>
      </c>
      <c r="E20" s="9" t="n">
        <f aca="false">COUNTIFS('Master Checklist'!$C$11:$C$500,"IT / Technology",'Master Checklist'!$J$11:$J$500,"In Progress")</f>
        <v>0</v>
      </c>
      <c r="F20" s="9" t="n">
        <f aca="false">COUNTIFS('Master Checklist'!$C$11:$C$500,"IT / Technology",'Master Checklist'!$J$11:$J$500,"Not Started")</f>
        <v>0</v>
      </c>
      <c r="G20" s="15" t="n">
        <f aca="false">IFERROR(D20/C20,0)</f>
        <v>0</v>
      </c>
      <c r="H20" s="16" t="str">
        <f aca="false">IF(G20&gt;=0.9,"✓",IF(G20&gt;=0.5,"!","✗"))</f>
        <v>✗</v>
      </c>
    </row>
    <row r="21" customFormat="false" ht="17.25" hidden="false" customHeight="true" outlineLevel="0" collapsed="false">
      <c r="B21" s="1" t="s">
        <v>141</v>
      </c>
      <c r="C21" s="9" t="n">
        <f aca="false">COUNTIF('Master Checklist'!$C$11:$C$500,"HR / Organization")</f>
        <v>0</v>
      </c>
      <c r="D21" s="9" t="n">
        <f aca="false">COUNTIFS('Master Checklist'!$C$11:$C$500,"HR / Organization",'Master Checklist'!$J$11:$J$500,"Complete")</f>
        <v>0</v>
      </c>
      <c r="E21" s="9" t="n">
        <f aca="false">COUNTIFS('Master Checklist'!$C$11:$C$500,"HR / Organization",'Master Checklist'!$J$11:$J$500,"In Progress")</f>
        <v>0</v>
      </c>
      <c r="F21" s="9" t="n">
        <f aca="false">COUNTIFS('Master Checklist'!$C$11:$C$500,"HR / Organization",'Master Checklist'!$J$11:$J$500,"Not Started")</f>
        <v>0</v>
      </c>
      <c r="G21" s="15" t="n">
        <f aca="false">IFERROR(D21/C21,0)</f>
        <v>0</v>
      </c>
      <c r="H21" s="16" t="str">
        <f aca="false">IF(G21&gt;=0.9,"✓",IF(G21&gt;=0.5,"!","✗"))</f>
        <v>✗</v>
      </c>
    </row>
    <row r="22" customFormat="false" ht="17.25" hidden="false" customHeight="true" outlineLevel="0" collapsed="false">
      <c r="B22" s="1" t="s">
        <v>142</v>
      </c>
      <c r="C22" s="9" t="n">
        <f aca="false">COUNTIF('Master Checklist'!$C$11:$C$500,"Tax DD")</f>
        <v>0</v>
      </c>
      <c r="D22" s="9" t="n">
        <f aca="false">COUNTIFS('Master Checklist'!$C$11:$C$500,"Tax DD",'Master Checklist'!$J$11:$J$500,"Complete")</f>
        <v>0</v>
      </c>
      <c r="E22" s="9" t="n">
        <f aca="false">COUNTIFS('Master Checklist'!$C$11:$C$500,"Tax DD",'Master Checklist'!$J$11:$J$500,"In Progress")</f>
        <v>0</v>
      </c>
      <c r="F22" s="9" t="n">
        <f aca="false">COUNTIFS('Master Checklist'!$C$11:$C$500,"Tax DD",'Master Checklist'!$J$11:$J$500,"Not Started")</f>
        <v>0</v>
      </c>
      <c r="G22" s="15" t="n">
        <f aca="false">IFERROR(D22/C22,0)</f>
        <v>0</v>
      </c>
      <c r="H22" s="16" t="str">
        <f aca="false">IF(G22&gt;=0.9,"✓",IF(G22&gt;=0.5,"!","✗"))</f>
        <v>✗</v>
      </c>
    </row>
    <row r="23" customFormat="false" ht="17.25" hidden="false" customHeight="true" outlineLevel="0" collapsed="false">
      <c r="B23" s="1" t="s">
        <v>143</v>
      </c>
      <c r="C23" s="9" t="n">
        <f aca="false">COUNTIF('Master Checklist'!$C$11:$C$500,"Environmental")</f>
        <v>0</v>
      </c>
      <c r="D23" s="9" t="n">
        <f aca="false">COUNTIFS('Master Checklist'!$C$11:$C$500,"Environmental",'Master Checklist'!$J$11:$J$500,"Complete")</f>
        <v>0</v>
      </c>
      <c r="E23" s="9" t="n">
        <f aca="false">COUNTIFS('Master Checklist'!$C$11:$C$500,"Environmental",'Master Checklist'!$J$11:$J$500,"In Progress")</f>
        <v>0</v>
      </c>
      <c r="F23" s="9" t="n">
        <f aca="false">COUNTIFS('Master Checklist'!$C$11:$C$500,"Environmental",'Master Checklist'!$J$11:$J$500,"Not Started")</f>
        <v>0</v>
      </c>
      <c r="G23" s="15" t="n">
        <f aca="false">IFERROR(D23/C23,0)</f>
        <v>0</v>
      </c>
      <c r="H23" s="16" t="str">
        <f aca="false">IF(G23&gt;=0.9,"✓",IF(G23&gt;=0.5,"!","✗"))</f>
        <v>✗</v>
      </c>
    </row>
    <row r="26" customFormat="false" ht="15" hidden="false" customHeight="true" outlineLevel="0" collapsed="false">
      <c r="B26" s="7" t="s">
        <v>144</v>
      </c>
      <c r="C26" s="7"/>
      <c r="D26" s="7"/>
      <c r="E26" s="7"/>
      <c r="F26" s="7"/>
      <c r="G26" s="7"/>
      <c r="H26" s="7"/>
    </row>
    <row r="27" customFormat="false" ht="15" hidden="false" customHeight="true" outlineLevel="0" collapsed="false">
      <c r="B27" s="17" t="s">
        <v>145</v>
      </c>
      <c r="C27" s="17" t="s">
        <v>146</v>
      </c>
      <c r="D27" s="17" t="s">
        <v>147</v>
      </c>
    </row>
    <row r="28" customFormat="false" ht="15" hidden="false" customHeight="true" outlineLevel="0" collapsed="false">
      <c r="B28" s="1" t="s">
        <v>148</v>
      </c>
      <c r="C28" s="9" t="n">
        <f aca="false">COUNTIF('Master Checklist'!C10:C500,"Operational DD")</f>
        <v>0</v>
      </c>
      <c r="D28" s="9" t="n">
        <f aca="false">COUNTIFS('Master Checklist'!C10:C500,"Operational DD",'Master Checklist'!F10:F500,"Complete")</f>
        <v>0</v>
      </c>
    </row>
    <row r="29" customFormat="false" ht="15" hidden="false" customHeight="true" outlineLevel="0" collapsed="false">
      <c r="B29" s="1" t="s">
        <v>149</v>
      </c>
      <c r="C29" s="9" t="n">
        <f aca="false">COUNTIF('Master Checklist'!C10:C500,"IT/Technology")</f>
        <v>0</v>
      </c>
      <c r="D29" s="9" t="n">
        <f aca="false">COUNTIFS('Master Checklist'!C10:C500,"IT/Technology",'Master Checklist'!F10:F500,"Complete")</f>
        <v>0</v>
      </c>
    </row>
    <row r="30" customFormat="false" ht="15" hidden="false" customHeight="true" outlineLevel="0" collapsed="false">
      <c r="B30" s="1" t="s">
        <v>150</v>
      </c>
      <c r="C30" s="9" t="n">
        <f aca="false">COUNTIF('Master Checklist'!C10:C500,"ESG DD")</f>
        <v>0</v>
      </c>
      <c r="D30" s="9" t="n">
        <f aca="false">COUNTIFS('Master Checklist'!C10:C500,"ESG DD",'Master Checklist'!F10:F500,"Complete")</f>
        <v>0</v>
      </c>
    </row>
    <row r="33" customFormat="false" ht="15" hidden="false" customHeight="true" outlineLevel="0" collapsed="false">
      <c r="B33" s="7" t="s">
        <v>151</v>
      </c>
      <c r="C33" s="7"/>
      <c r="D33" s="7"/>
      <c r="E33" s="7"/>
      <c r="F33" s="7"/>
      <c r="G33" s="7"/>
      <c r="H33" s="7"/>
      <c r="I33" s="7"/>
      <c r="J33" s="7"/>
    </row>
    <row r="34" customFormat="false" ht="15" hidden="false" customHeight="true" outlineLevel="0" collapsed="false">
      <c r="B34" s="1" t="s">
        <v>152</v>
      </c>
      <c r="C34" s="9" t="n">
        <f aca="false">COUNTIF('Master Checklist'!C10:C500,"HR &amp; People")</f>
        <v>0</v>
      </c>
    </row>
    <row r="35" customFormat="false" ht="15" hidden="false" customHeight="true" outlineLevel="0" collapsed="false">
      <c r="B35" s="1" t="s">
        <v>153</v>
      </c>
      <c r="C35" s="9" t="n">
        <f aca="false">COUNTIFS('Master Checklist'!C10:C500,"HR &amp; People",'Master Checklist'!F10:F500,"Complete")</f>
        <v>0</v>
      </c>
      <c r="D35" s="1" t="n">
        <f aca="false">COUNTIFS('Master Checklist'!C10:C500,"HR &amp; People",'Master Checklist'!F10:F500,"Complete")</f>
        <v>0</v>
      </c>
    </row>
  </sheetData>
  <mergeCells count="6">
    <mergeCell ref="B2:K2"/>
    <mergeCell ref="B4:E4"/>
    <mergeCell ref="G4:J4"/>
    <mergeCell ref="B14:J14"/>
    <mergeCell ref="B26:H26"/>
    <mergeCell ref="B33:J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7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10"/>
    <col collapsed="false" customWidth="true" hidden="false" outlineLevel="0" max="8" min="8" style="1" width="15"/>
    <col collapsed="false" customWidth="true" hidden="false" outlineLevel="0" max="10" min="9" style="1" width="13"/>
    <col collapsed="false" customWidth="true" hidden="false" outlineLevel="0" max="11" min="11" style="1" width="11"/>
    <col collapsed="false" customWidth="true" hidden="false" outlineLevel="0" max="13" min="12" style="1" width="8"/>
    <col collapsed="false" customWidth="true" hidden="false" outlineLevel="0" max="14" min="14" style="1" width="30"/>
  </cols>
  <sheetData>
    <row r="2" customFormat="false" ht="17.25" hidden="false" customHeight="true" outlineLevel="0" collapsed="false">
      <c r="B2" s="18" t="s">
        <v>154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customFormat="false" ht="15" hidden="false" customHeight="true" outlineLevel="0" collapsed="false">
      <c r="B4" s="19" t="s">
        <v>155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6" customFormat="false" ht="27.75" hidden="false" customHeight="true" outlineLevel="0" collapsed="false">
      <c r="B6" s="20" t="s">
        <v>156</v>
      </c>
      <c r="C6" s="20" t="s">
        <v>157</v>
      </c>
      <c r="D6" s="20" t="s">
        <v>129</v>
      </c>
      <c r="E6" s="20" t="s">
        <v>158</v>
      </c>
      <c r="F6" s="20" t="s">
        <v>159</v>
      </c>
      <c r="G6" s="20" t="s">
        <v>160</v>
      </c>
      <c r="H6" s="20" t="s">
        <v>161</v>
      </c>
      <c r="I6" s="20" t="s">
        <v>162</v>
      </c>
      <c r="J6" s="20" t="s">
        <v>163</v>
      </c>
      <c r="K6" s="20" t="s">
        <v>135</v>
      </c>
      <c r="L6" s="20" t="s">
        <v>134</v>
      </c>
      <c r="M6" s="20" t="s">
        <v>164</v>
      </c>
      <c r="N6" s="20" t="s">
        <v>165</v>
      </c>
    </row>
    <row r="11" customFormat="false" ht="15" hidden="false" customHeight="true" outlineLevel="0" collapsed="false">
      <c r="B11" s="1" t="n">
        <v>1</v>
      </c>
      <c r="C11" s="1" t="s">
        <v>166</v>
      </c>
      <c r="D11" s="21" t="s">
        <v>136</v>
      </c>
      <c r="E11" s="1" t="s">
        <v>167</v>
      </c>
      <c r="F11" s="1" t="s">
        <v>168</v>
      </c>
      <c r="G11" s="8" t="s">
        <v>169</v>
      </c>
      <c r="H11" s="8"/>
      <c r="I11" s="11"/>
      <c r="J11" s="11"/>
      <c r="K11" s="8" t="s">
        <v>133</v>
      </c>
      <c r="L11" s="15" t="n">
        <f aca="false">IF(J11="Complete",1,IF(J11="In Progress",0.5,0))</f>
        <v>0</v>
      </c>
      <c r="M11" s="8"/>
      <c r="N11" s="8"/>
    </row>
    <row r="12" customFormat="false" ht="15" hidden="false" customHeight="true" outlineLevel="0" collapsed="false">
      <c r="B12" s="1" t="n">
        <v>2</v>
      </c>
      <c r="C12" s="1" t="s">
        <v>166</v>
      </c>
      <c r="D12" s="21" t="s">
        <v>136</v>
      </c>
      <c r="E12" s="1" t="s">
        <v>170</v>
      </c>
      <c r="F12" s="1" t="s">
        <v>171</v>
      </c>
      <c r="G12" s="8" t="s">
        <v>169</v>
      </c>
      <c r="H12" s="8"/>
      <c r="I12" s="11"/>
      <c r="J12" s="11"/>
      <c r="K12" s="8" t="s">
        <v>133</v>
      </c>
      <c r="L12" s="15" t="n">
        <f aca="false">IF(J12="Complete",1,IF(J12="In Progress",0.5,0))</f>
        <v>0</v>
      </c>
      <c r="M12" s="8"/>
      <c r="N12" s="8"/>
    </row>
    <row r="13" customFormat="false" ht="15" hidden="false" customHeight="true" outlineLevel="0" collapsed="false">
      <c r="B13" s="1" t="n">
        <v>3</v>
      </c>
      <c r="C13" s="1" t="s">
        <v>166</v>
      </c>
      <c r="D13" s="21" t="s">
        <v>136</v>
      </c>
      <c r="E13" s="1" t="s">
        <v>172</v>
      </c>
      <c r="F13" s="1" t="s">
        <v>173</v>
      </c>
      <c r="G13" s="8" t="s">
        <v>169</v>
      </c>
      <c r="H13" s="8"/>
      <c r="I13" s="11"/>
      <c r="J13" s="11"/>
      <c r="K13" s="8" t="s">
        <v>133</v>
      </c>
      <c r="L13" s="15" t="n">
        <f aca="false">IF(J13="Complete",1,IF(J13="In Progress",0.5,0))</f>
        <v>0</v>
      </c>
      <c r="M13" s="8"/>
      <c r="N13" s="8"/>
    </row>
    <row r="14" customFormat="false" ht="15" hidden="false" customHeight="true" outlineLevel="0" collapsed="false">
      <c r="B14" s="1" t="n">
        <v>4</v>
      </c>
      <c r="C14" s="1" t="s">
        <v>166</v>
      </c>
      <c r="D14" s="21" t="s">
        <v>136</v>
      </c>
      <c r="E14" s="1" t="s">
        <v>174</v>
      </c>
      <c r="F14" s="1" t="s">
        <v>175</v>
      </c>
      <c r="G14" s="8" t="s">
        <v>148</v>
      </c>
      <c r="H14" s="8"/>
      <c r="I14" s="11"/>
      <c r="J14" s="11"/>
      <c r="K14" s="8" t="s">
        <v>133</v>
      </c>
      <c r="L14" s="15" t="n">
        <f aca="false">IF(J14="Complete",1,IF(J14="In Progress",0.5,0))</f>
        <v>0</v>
      </c>
      <c r="M14" s="8"/>
      <c r="N14" s="8"/>
    </row>
    <row r="15" customFormat="false" ht="15" hidden="false" customHeight="true" outlineLevel="0" collapsed="false">
      <c r="B15" s="1" t="n">
        <v>5</v>
      </c>
      <c r="C15" s="1" t="s">
        <v>166</v>
      </c>
      <c r="D15" s="21" t="s">
        <v>136</v>
      </c>
      <c r="E15" s="1" t="s">
        <v>176</v>
      </c>
      <c r="F15" s="1" t="s">
        <v>177</v>
      </c>
      <c r="G15" s="8" t="s">
        <v>148</v>
      </c>
      <c r="H15" s="8"/>
      <c r="I15" s="11"/>
      <c r="J15" s="11"/>
      <c r="K15" s="8" t="s">
        <v>133</v>
      </c>
      <c r="L15" s="15" t="n">
        <f aca="false">IF(J15="Complete",1,IF(J15="In Progress",0.5,0))</f>
        <v>0</v>
      </c>
      <c r="M15" s="8"/>
      <c r="N15" s="8"/>
    </row>
    <row r="16" customFormat="false" ht="15" hidden="false" customHeight="true" outlineLevel="0" collapsed="false">
      <c r="B16" s="1" t="n">
        <v>6</v>
      </c>
      <c r="C16" s="1" t="s">
        <v>166</v>
      </c>
      <c r="D16" s="21" t="s">
        <v>136</v>
      </c>
      <c r="E16" s="1" t="s">
        <v>178</v>
      </c>
      <c r="F16" s="1" t="s">
        <v>179</v>
      </c>
      <c r="G16" s="8" t="s">
        <v>148</v>
      </c>
      <c r="H16" s="8"/>
      <c r="I16" s="11"/>
      <c r="J16" s="11"/>
      <c r="K16" s="8" t="s">
        <v>133</v>
      </c>
      <c r="L16" s="15" t="n">
        <f aca="false">IF(J16="Complete",1,IF(J16="In Progress",0.5,0))</f>
        <v>0</v>
      </c>
      <c r="M16" s="8"/>
      <c r="N16" s="8"/>
    </row>
    <row r="17" customFormat="false" ht="15" hidden="false" customHeight="true" outlineLevel="0" collapsed="false">
      <c r="B17" s="1" t="n">
        <v>7</v>
      </c>
      <c r="C17" s="1" t="s">
        <v>166</v>
      </c>
      <c r="D17" s="21" t="s">
        <v>136</v>
      </c>
      <c r="E17" s="1" t="s">
        <v>180</v>
      </c>
      <c r="F17" s="1" t="s">
        <v>181</v>
      </c>
      <c r="G17" s="8" t="s">
        <v>148</v>
      </c>
      <c r="H17" s="8"/>
      <c r="I17" s="11"/>
      <c r="J17" s="11"/>
      <c r="K17" s="8" t="s">
        <v>133</v>
      </c>
      <c r="L17" s="15" t="n">
        <f aca="false">IF(J17="Complete",1,IF(J17="In Progress",0.5,0))</f>
        <v>0</v>
      </c>
      <c r="M17" s="8"/>
      <c r="N17" s="8"/>
    </row>
    <row r="18" customFormat="false" ht="15" hidden="false" customHeight="true" outlineLevel="0" collapsed="false">
      <c r="B18" s="1" t="n">
        <v>8</v>
      </c>
      <c r="C18" s="1" t="s">
        <v>166</v>
      </c>
      <c r="D18" s="21" t="s">
        <v>136</v>
      </c>
      <c r="E18" s="1" t="s">
        <v>182</v>
      </c>
      <c r="F18" s="1" t="s">
        <v>183</v>
      </c>
      <c r="G18" s="8" t="s">
        <v>149</v>
      </c>
      <c r="H18" s="8"/>
      <c r="I18" s="11"/>
      <c r="J18" s="11"/>
      <c r="K18" s="8" t="s">
        <v>133</v>
      </c>
      <c r="L18" s="15" t="n">
        <f aca="false">IF(J18="Complete",1,IF(J18="In Progress",0.5,0))</f>
        <v>0</v>
      </c>
      <c r="M18" s="8"/>
      <c r="N18" s="8"/>
    </row>
    <row r="19" customFormat="false" ht="15" hidden="false" customHeight="true" outlineLevel="0" collapsed="false">
      <c r="B19" s="1" t="n">
        <v>9</v>
      </c>
      <c r="C19" s="1" t="s">
        <v>166</v>
      </c>
      <c r="D19" s="21" t="s">
        <v>136</v>
      </c>
      <c r="E19" s="1" t="s">
        <v>184</v>
      </c>
      <c r="F19" s="1" t="s">
        <v>185</v>
      </c>
      <c r="G19" s="8" t="s">
        <v>169</v>
      </c>
      <c r="H19" s="8"/>
      <c r="I19" s="11"/>
      <c r="J19" s="11"/>
      <c r="K19" s="8" t="s">
        <v>133</v>
      </c>
      <c r="L19" s="15" t="n">
        <f aca="false">IF(J19="Complete",1,IF(J19="In Progress",0.5,0))</f>
        <v>0</v>
      </c>
      <c r="M19" s="8"/>
      <c r="N19" s="8"/>
    </row>
    <row r="20" customFormat="false" ht="15" hidden="false" customHeight="true" outlineLevel="0" collapsed="false">
      <c r="B20" s="1" t="n">
        <v>10</v>
      </c>
      <c r="C20" s="1" t="s">
        <v>166</v>
      </c>
      <c r="D20" s="21" t="s">
        <v>136</v>
      </c>
      <c r="E20" s="1" t="s">
        <v>186</v>
      </c>
      <c r="F20" s="1" t="s">
        <v>187</v>
      </c>
      <c r="G20" s="8" t="s">
        <v>148</v>
      </c>
      <c r="H20" s="8"/>
      <c r="I20" s="11"/>
      <c r="J20" s="11"/>
      <c r="K20" s="8" t="s">
        <v>133</v>
      </c>
      <c r="L20" s="15" t="n">
        <f aca="false">IF(J20="Complete",1,IF(J20="In Progress",0.5,0))</f>
        <v>0</v>
      </c>
      <c r="M20" s="8"/>
      <c r="N20" s="8"/>
    </row>
    <row r="21" customFormat="false" ht="15" hidden="false" customHeight="true" outlineLevel="0" collapsed="false">
      <c r="B21" s="1" t="n">
        <v>11</v>
      </c>
      <c r="C21" s="1" t="s">
        <v>166</v>
      </c>
      <c r="D21" s="21" t="s">
        <v>136</v>
      </c>
      <c r="E21" s="1" t="s">
        <v>188</v>
      </c>
      <c r="F21" s="1" t="s">
        <v>189</v>
      </c>
      <c r="G21" s="8" t="s">
        <v>149</v>
      </c>
      <c r="H21" s="8"/>
      <c r="I21" s="11"/>
      <c r="J21" s="11"/>
      <c r="K21" s="8" t="s">
        <v>133</v>
      </c>
      <c r="L21" s="15" t="n">
        <f aca="false">IF(J21="Complete",1,IF(J21="In Progress",0.5,0))</f>
        <v>0</v>
      </c>
      <c r="M21" s="8"/>
      <c r="N21" s="8"/>
    </row>
    <row r="22" customFormat="false" ht="15" hidden="false" customHeight="true" outlineLevel="0" collapsed="false">
      <c r="B22" s="1" t="n">
        <v>12</v>
      </c>
      <c r="C22" s="1" t="s">
        <v>166</v>
      </c>
      <c r="D22" s="21" t="s">
        <v>136</v>
      </c>
      <c r="E22" s="1" t="s">
        <v>190</v>
      </c>
      <c r="F22" s="1" t="s">
        <v>191</v>
      </c>
      <c r="G22" s="8" t="s">
        <v>148</v>
      </c>
      <c r="H22" s="8"/>
      <c r="I22" s="11"/>
      <c r="J22" s="11"/>
      <c r="K22" s="8" t="s">
        <v>133</v>
      </c>
      <c r="L22" s="15" t="n">
        <f aca="false">IF(J22="Complete",1,IF(J22="In Progress",0.5,0))</f>
        <v>0</v>
      </c>
      <c r="M22" s="8"/>
      <c r="N22" s="8"/>
    </row>
    <row r="23" customFormat="false" ht="15" hidden="false" customHeight="true" outlineLevel="0" collapsed="false">
      <c r="B23" s="1" t="n">
        <v>13</v>
      </c>
      <c r="C23" s="1" t="s">
        <v>166</v>
      </c>
      <c r="D23" s="21" t="s">
        <v>136</v>
      </c>
      <c r="E23" s="1" t="s">
        <v>192</v>
      </c>
      <c r="F23" s="1" t="s">
        <v>193</v>
      </c>
      <c r="G23" s="8" t="s">
        <v>149</v>
      </c>
      <c r="H23" s="8"/>
      <c r="I23" s="11"/>
      <c r="J23" s="11"/>
      <c r="K23" s="8" t="s">
        <v>133</v>
      </c>
      <c r="L23" s="15" t="n">
        <f aca="false">IF(J23="Complete",1,IF(J23="In Progress",0.5,0))</f>
        <v>0</v>
      </c>
      <c r="M23" s="8"/>
      <c r="N23" s="8"/>
    </row>
    <row r="24" customFormat="false" ht="15" hidden="false" customHeight="true" outlineLevel="0" collapsed="false">
      <c r="B24" s="1" t="n">
        <v>14</v>
      </c>
      <c r="C24" s="1" t="s">
        <v>166</v>
      </c>
      <c r="D24" s="21" t="s">
        <v>136</v>
      </c>
      <c r="E24" s="1" t="s">
        <v>194</v>
      </c>
      <c r="F24" s="1" t="s">
        <v>195</v>
      </c>
      <c r="G24" s="8" t="s">
        <v>149</v>
      </c>
      <c r="H24" s="8"/>
      <c r="I24" s="11"/>
      <c r="J24" s="11"/>
      <c r="K24" s="8" t="s">
        <v>133</v>
      </c>
      <c r="L24" s="15" t="n">
        <f aca="false">IF(J24="Complete",1,IF(J24="In Progress",0.5,0))</f>
        <v>0</v>
      </c>
      <c r="M24" s="8"/>
      <c r="N24" s="8"/>
    </row>
    <row r="25" customFormat="false" ht="15" hidden="false" customHeight="true" outlineLevel="0" collapsed="false">
      <c r="B25" s="1" t="n">
        <v>15</v>
      </c>
      <c r="C25" s="1" t="s">
        <v>166</v>
      </c>
      <c r="D25" s="21" t="s">
        <v>136</v>
      </c>
      <c r="E25" s="1" t="s">
        <v>196</v>
      </c>
      <c r="F25" s="1" t="s">
        <v>197</v>
      </c>
      <c r="G25" s="8" t="s">
        <v>149</v>
      </c>
      <c r="H25" s="8"/>
      <c r="I25" s="11"/>
      <c r="J25" s="11"/>
      <c r="K25" s="8" t="s">
        <v>133</v>
      </c>
      <c r="L25" s="15" t="n">
        <f aca="false">IF(J25="Complete",1,IF(J25="In Progress",0.5,0))</f>
        <v>0</v>
      </c>
      <c r="M25" s="8"/>
      <c r="N25" s="8"/>
    </row>
    <row r="26" customFormat="false" ht="15" hidden="false" customHeight="true" outlineLevel="0" collapsed="false">
      <c r="B26" s="1" t="n">
        <v>16</v>
      </c>
      <c r="C26" s="1" t="s">
        <v>198</v>
      </c>
      <c r="D26" s="21" t="s">
        <v>136</v>
      </c>
      <c r="E26" s="1" t="s">
        <v>199</v>
      </c>
      <c r="F26" s="1" t="s">
        <v>200</v>
      </c>
      <c r="G26" s="8" t="s">
        <v>169</v>
      </c>
      <c r="H26" s="8"/>
      <c r="I26" s="11"/>
      <c r="J26" s="11"/>
      <c r="K26" s="8" t="s">
        <v>133</v>
      </c>
      <c r="L26" s="15" t="n">
        <f aca="false">IF(J26="Complete",1,IF(J26="In Progress",0.5,0))</f>
        <v>0</v>
      </c>
      <c r="M26" s="8"/>
      <c r="N26" s="8"/>
    </row>
    <row r="27" customFormat="false" ht="15" hidden="false" customHeight="true" outlineLevel="0" collapsed="false">
      <c r="B27" s="1" t="n">
        <v>17</v>
      </c>
      <c r="C27" s="1" t="s">
        <v>198</v>
      </c>
      <c r="D27" s="21" t="s">
        <v>136</v>
      </c>
      <c r="E27" s="1" t="s">
        <v>201</v>
      </c>
      <c r="F27" s="1" t="s">
        <v>202</v>
      </c>
      <c r="G27" s="8" t="s">
        <v>169</v>
      </c>
      <c r="H27" s="8"/>
      <c r="I27" s="11"/>
      <c r="J27" s="11"/>
      <c r="K27" s="8" t="s">
        <v>133</v>
      </c>
      <c r="L27" s="15" t="n">
        <f aca="false">IF(J27="Complete",1,IF(J27="In Progress",0.5,0))</f>
        <v>0</v>
      </c>
      <c r="M27" s="8"/>
      <c r="N27" s="8"/>
    </row>
    <row r="28" customFormat="false" ht="15" hidden="false" customHeight="true" outlineLevel="0" collapsed="false">
      <c r="B28" s="1" t="n">
        <v>18</v>
      </c>
      <c r="C28" s="1" t="s">
        <v>198</v>
      </c>
      <c r="D28" s="21" t="s">
        <v>136</v>
      </c>
      <c r="E28" s="1" t="s">
        <v>203</v>
      </c>
      <c r="F28" s="1" t="s">
        <v>204</v>
      </c>
      <c r="G28" s="8" t="s">
        <v>148</v>
      </c>
      <c r="H28" s="8"/>
      <c r="I28" s="11"/>
      <c r="J28" s="11"/>
      <c r="K28" s="8" t="s">
        <v>133</v>
      </c>
      <c r="L28" s="15" t="n">
        <f aca="false">IF(J28="Complete",1,IF(J28="In Progress",0.5,0))</f>
        <v>0</v>
      </c>
      <c r="M28" s="8"/>
      <c r="N28" s="8"/>
    </row>
    <row r="29" customFormat="false" ht="15" hidden="false" customHeight="true" outlineLevel="0" collapsed="false">
      <c r="B29" s="1" t="n">
        <v>19</v>
      </c>
      <c r="C29" s="1" t="s">
        <v>198</v>
      </c>
      <c r="D29" s="21" t="s">
        <v>136</v>
      </c>
      <c r="E29" s="1" t="s">
        <v>205</v>
      </c>
      <c r="F29" s="1" t="s">
        <v>206</v>
      </c>
      <c r="G29" s="8" t="s">
        <v>148</v>
      </c>
      <c r="H29" s="8"/>
      <c r="I29" s="11"/>
      <c r="J29" s="11"/>
      <c r="K29" s="8" t="s">
        <v>133</v>
      </c>
      <c r="L29" s="15" t="n">
        <f aca="false">IF(J29="Complete",1,IF(J29="In Progress",0.5,0))</f>
        <v>0</v>
      </c>
      <c r="M29" s="8"/>
      <c r="N29" s="8"/>
    </row>
    <row r="30" customFormat="false" ht="15" hidden="false" customHeight="true" outlineLevel="0" collapsed="false">
      <c r="B30" s="1" t="n">
        <v>20</v>
      </c>
      <c r="C30" s="1" t="s">
        <v>207</v>
      </c>
      <c r="D30" s="21" t="s">
        <v>136</v>
      </c>
      <c r="E30" s="1" t="s">
        <v>208</v>
      </c>
      <c r="F30" s="1" t="s">
        <v>209</v>
      </c>
      <c r="G30" s="8" t="s">
        <v>148</v>
      </c>
      <c r="H30" s="8"/>
      <c r="I30" s="11"/>
      <c r="J30" s="11"/>
      <c r="K30" s="8" t="s">
        <v>133</v>
      </c>
      <c r="L30" s="15" t="n">
        <f aca="false">IF(J30="Complete",1,IF(J30="In Progress",0.5,0))</f>
        <v>0</v>
      </c>
      <c r="M30" s="8"/>
      <c r="N30" s="8"/>
    </row>
    <row r="31" customFormat="false" ht="15" hidden="false" customHeight="true" outlineLevel="0" collapsed="false">
      <c r="B31" s="1" t="n">
        <v>21</v>
      </c>
      <c r="C31" s="1" t="s">
        <v>207</v>
      </c>
      <c r="D31" s="21" t="s">
        <v>136</v>
      </c>
      <c r="E31" s="1" t="s">
        <v>210</v>
      </c>
      <c r="F31" s="1" t="s">
        <v>211</v>
      </c>
      <c r="G31" s="8" t="s">
        <v>149</v>
      </c>
      <c r="H31" s="8"/>
      <c r="I31" s="11"/>
      <c r="J31" s="11"/>
      <c r="K31" s="8" t="s">
        <v>133</v>
      </c>
      <c r="L31" s="15" t="n">
        <f aca="false">IF(J31="Complete",1,IF(J31="In Progress",0.5,0))</f>
        <v>0</v>
      </c>
      <c r="M31" s="8"/>
      <c r="N31" s="8"/>
    </row>
    <row r="32" customFormat="false" ht="15" hidden="false" customHeight="true" outlineLevel="0" collapsed="false">
      <c r="B32" s="1" t="n">
        <v>22</v>
      </c>
      <c r="C32" s="1" t="s">
        <v>207</v>
      </c>
      <c r="D32" s="21" t="s">
        <v>136</v>
      </c>
      <c r="E32" s="1" t="s">
        <v>212</v>
      </c>
      <c r="F32" s="1" t="s">
        <v>213</v>
      </c>
      <c r="G32" s="8" t="s">
        <v>149</v>
      </c>
      <c r="H32" s="8"/>
      <c r="I32" s="11"/>
      <c r="J32" s="11"/>
      <c r="K32" s="8" t="s">
        <v>133</v>
      </c>
      <c r="L32" s="15" t="n">
        <f aca="false">IF(J32="Complete",1,IF(J32="In Progress",0.5,0))</f>
        <v>0</v>
      </c>
      <c r="M32" s="8"/>
      <c r="N32" s="8"/>
    </row>
    <row r="33" customFormat="false" ht="15" hidden="false" customHeight="true" outlineLevel="0" collapsed="false">
      <c r="B33" s="1" t="n">
        <v>23</v>
      </c>
      <c r="C33" s="1" t="s">
        <v>207</v>
      </c>
      <c r="D33" s="21" t="s">
        <v>136</v>
      </c>
      <c r="E33" s="1" t="s">
        <v>214</v>
      </c>
      <c r="F33" s="1" t="s">
        <v>215</v>
      </c>
      <c r="G33" s="8" t="s">
        <v>148</v>
      </c>
      <c r="H33" s="8"/>
      <c r="I33" s="11"/>
      <c r="J33" s="11"/>
      <c r="K33" s="8" t="s">
        <v>133</v>
      </c>
      <c r="L33" s="15" t="n">
        <f aca="false">IF(J33="Complete",1,IF(J33="In Progress",0.5,0))</f>
        <v>0</v>
      </c>
      <c r="M33" s="8"/>
      <c r="N33" s="8"/>
    </row>
    <row r="34" customFormat="false" ht="15" hidden="false" customHeight="true" outlineLevel="0" collapsed="false">
      <c r="B34" s="1" t="n">
        <v>24</v>
      </c>
      <c r="C34" s="1" t="s">
        <v>216</v>
      </c>
      <c r="D34" s="21" t="s">
        <v>136</v>
      </c>
      <c r="E34" s="1" t="s">
        <v>217</v>
      </c>
      <c r="F34" s="1" t="s">
        <v>218</v>
      </c>
      <c r="G34" s="8" t="s">
        <v>169</v>
      </c>
      <c r="H34" s="8"/>
      <c r="I34" s="11"/>
      <c r="J34" s="11"/>
      <c r="K34" s="8" t="s">
        <v>133</v>
      </c>
      <c r="L34" s="15" t="n">
        <f aca="false">IF(J34="Complete",1,IF(J34="In Progress",0.5,0))</f>
        <v>0</v>
      </c>
      <c r="M34" s="8"/>
      <c r="N34" s="8"/>
    </row>
    <row r="35" customFormat="false" ht="15" hidden="false" customHeight="true" outlineLevel="0" collapsed="false">
      <c r="B35" s="1" t="n">
        <v>25</v>
      </c>
      <c r="C35" s="1" t="s">
        <v>216</v>
      </c>
      <c r="D35" s="21" t="s">
        <v>136</v>
      </c>
      <c r="E35" s="1" t="s">
        <v>219</v>
      </c>
      <c r="F35" s="1" t="s">
        <v>220</v>
      </c>
      <c r="G35" s="8" t="s">
        <v>169</v>
      </c>
      <c r="H35" s="8"/>
      <c r="I35" s="11"/>
      <c r="J35" s="11"/>
      <c r="K35" s="8" t="s">
        <v>133</v>
      </c>
      <c r="L35" s="15" t="n">
        <f aca="false">IF(J35="Complete",1,IF(J35="In Progress",0.5,0))</f>
        <v>0</v>
      </c>
      <c r="M35" s="8"/>
      <c r="N35" s="8"/>
    </row>
    <row r="36" customFormat="false" ht="15" hidden="false" customHeight="true" outlineLevel="0" collapsed="false">
      <c r="B36" s="1" t="n">
        <v>26</v>
      </c>
      <c r="C36" s="1" t="s">
        <v>216</v>
      </c>
      <c r="D36" s="21" t="s">
        <v>136</v>
      </c>
      <c r="E36" s="1" t="s">
        <v>221</v>
      </c>
      <c r="F36" s="1" t="s">
        <v>222</v>
      </c>
      <c r="G36" s="8" t="s">
        <v>148</v>
      </c>
      <c r="H36" s="8"/>
      <c r="I36" s="11"/>
      <c r="J36" s="11"/>
      <c r="K36" s="8" t="s">
        <v>133</v>
      </c>
      <c r="L36" s="15" t="n">
        <f aca="false">IF(J36="Complete",1,IF(J36="In Progress",0.5,0))</f>
        <v>0</v>
      </c>
      <c r="M36" s="8"/>
      <c r="N36" s="8"/>
    </row>
    <row r="37" customFormat="false" ht="15" hidden="false" customHeight="true" outlineLevel="0" collapsed="false">
      <c r="B37" s="1" t="n">
        <v>27</v>
      </c>
      <c r="C37" s="1" t="s">
        <v>223</v>
      </c>
      <c r="D37" s="21" t="s">
        <v>136</v>
      </c>
      <c r="E37" s="1" t="s">
        <v>224</v>
      </c>
      <c r="F37" s="1" t="s">
        <v>225</v>
      </c>
      <c r="G37" s="8" t="s">
        <v>148</v>
      </c>
      <c r="H37" s="8"/>
      <c r="I37" s="11"/>
      <c r="J37" s="11"/>
      <c r="K37" s="8" t="s">
        <v>133</v>
      </c>
      <c r="L37" s="15" t="n">
        <f aca="false">IF(J37="Complete",1,IF(J37="In Progress",0.5,0))</f>
        <v>0</v>
      </c>
      <c r="M37" s="8"/>
      <c r="N37" s="8"/>
    </row>
    <row r="38" customFormat="false" ht="15" hidden="false" customHeight="true" outlineLevel="0" collapsed="false">
      <c r="B38" s="1" t="n">
        <v>28</v>
      </c>
      <c r="C38" s="1" t="s">
        <v>223</v>
      </c>
      <c r="D38" s="21" t="s">
        <v>136</v>
      </c>
      <c r="E38" s="1" t="s">
        <v>226</v>
      </c>
      <c r="F38" s="1" t="s">
        <v>227</v>
      </c>
      <c r="G38" s="8" t="s">
        <v>169</v>
      </c>
      <c r="H38" s="8"/>
      <c r="I38" s="11"/>
      <c r="J38" s="11"/>
      <c r="K38" s="8" t="s">
        <v>133</v>
      </c>
      <c r="L38" s="15" t="n">
        <f aca="false">IF(J38="Complete",1,IF(J38="In Progress",0.5,0))</f>
        <v>0</v>
      </c>
      <c r="M38" s="8"/>
      <c r="N38" s="8"/>
    </row>
    <row r="39" customFormat="false" ht="15" hidden="false" customHeight="true" outlineLevel="0" collapsed="false">
      <c r="B39" s="1" t="n">
        <v>29</v>
      </c>
      <c r="C39" s="1" t="s">
        <v>223</v>
      </c>
      <c r="D39" s="21" t="s">
        <v>136</v>
      </c>
      <c r="E39" s="1" t="s">
        <v>228</v>
      </c>
      <c r="F39" s="1" t="s">
        <v>229</v>
      </c>
      <c r="G39" s="8" t="s">
        <v>148</v>
      </c>
      <c r="H39" s="8"/>
      <c r="I39" s="11"/>
      <c r="J39" s="11"/>
      <c r="K39" s="8" t="s">
        <v>133</v>
      </c>
      <c r="L39" s="15" t="n">
        <f aca="false">IF(J39="Complete",1,IF(J39="In Progress",0.5,0))</f>
        <v>0</v>
      </c>
      <c r="M39" s="8"/>
      <c r="N39" s="8"/>
    </row>
    <row r="40" customFormat="false" ht="15" hidden="false" customHeight="true" outlineLevel="0" collapsed="false">
      <c r="B40" s="1" t="n">
        <v>30</v>
      </c>
      <c r="C40" s="1" t="s">
        <v>223</v>
      </c>
      <c r="D40" s="21" t="s">
        <v>136</v>
      </c>
      <c r="E40" s="1" t="s">
        <v>230</v>
      </c>
      <c r="F40" s="1" t="s">
        <v>231</v>
      </c>
      <c r="G40" s="8" t="s">
        <v>149</v>
      </c>
      <c r="H40" s="8"/>
      <c r="I40" s="11"/>
      <c r="J40" s="11"/>
      <c r="K40" s="8" t="s">
        <v>133</v>
      </c>
      <c r="L40" s="15" t="n">
        <f aca="false">IF(J40="Complete",1,IF(J40="In Progress",0.5,0))</f>
        <v>0</v>
      </c>
      <c r="M40" s="8"/>
      <c r="N40" s="8"/>
    </row>
    <row r="41" customFormat="false" ht="15" hidden="false" customHeight="true" outlineLevel="0" collapsed="false">
      <c r="B41" s="1" t="n">
        <v>31</v>
      </c>
      <c r="C41" s="1" t="s">
        <v>232</v>
      </c>
      <c r="D41" s="21" t="s">
        <v>137</v>
      </c>
      <c r="E41" s="1" t="s">
        <v>233</v>
      </c>
      <c r="F41" s="1" t="s">
        <v>234</v>
      </c>
      <c r="G41" s="8" t="s">
        <v>169</v>
      </c>
      <c r="H41" s="8"/>
      <c r="I41" s="11"/>
      <c r="J41" s="11"/>
      <c r="K41" s="8" t="s">
        <v>133</v>
      </c>
      <c r="L41" s="15" t="n">
        <f aca="false">IF(J41="Complete",1,IF(J41="In Progress",0.5,0))</f>
        <v>0</v>
      </c>
      <c r="M41" s="8"/>
      <c r="N41" s="8"/>
    </row>
    <row r="42" customFormat="false" ht="15" hidden="false" customHeight="true" outlineLevel="0" collapsed="false">
      <c r="B42" s="1" t="n">
        <v>32</v>
      </c>
      <c r="C42" s="1" t="s">
        <v>232</v>
      </c>
      <c r="D42" s="21" t="s">
        <v>137</v>
      </c>
      <c r="E42" s="1" t="s">
        <v>235</v>
      </c>
      <c r="F42" s="1" t="s">
        <v>236</v>
      </c>
      <c r="G42" s="8" t="s">
        <v>169</v>
      </c>
      <c r="H42" s="8"/>
      <c r="I42" s="11"/>
      <c r="J42" s="11"/>
      <c r="K42" s="8" t="s">
        <v>133</v>
      </c>
      <c r="L42" s="15" t="n">
        <f aca="false">IF(J42="Complete",1,IF(J42="In Progress",0.5,0))</f>
        <v>0</v>
      </c>
      <c r="M42" s="8"/>
      <c r="N42" s="8"/>
    </row>
    <row r="43" customFormat="false" ht="15" hidden="false" customHeight="true" outlineLevel="0" collapsed="false">
      <c r="B43" s="1" t="n">
        <v>33</v>
      </c>
      <c r="C43" s="1" t="s">
        <v>232</v>
      </c>
      <c r="D43" s="21" t="s">
        <v>137</v>
      </c>
      <c r="E43" s="1" t="s">
        <v>237</v>
      </c>
      <c r="F43" s="1" t="s">
        <v>238</v>
      </c>
      <c r="G43" s="8" t="s">
        <v>148</v>
      </c>
      <c r="H43" s="8"/>
      <c r="I43" s="11"/>
      <c r="J43" s="11"/>
      <c r="K43" s="8" t="s">
        <v>133</v>
      </c>
      <c r="L43" s="15" t="n">
        <f aca="false">IF(J43="Complete",1,IF(J43="In Progress",0.5,0))</f>
        <v>0</v>
      </c>
      <c r="M43" s="8"/>
      <c r="N43" s="8"/>
    </row>
    <row r="44" customFormat="false" ht="15" hidden="false" customHeight="true" outlineLevel="0" collapsed="false">
      <c r="B44" s="1" t="n">
        <v>34</v>
      </c>
      <c r="C44" s="1" t="s">
        <v>232</v>
      </c>
      <c r="D44" s="21" t="s">
        <v>137</v>
      </c>
      <c r="E44" s="1" t="s">
        <v>239</v>
      </c>
      <c r="F44" s="1" t="s">
        <v>240</v>
      </c>
      <c r="G44" s="8" t="s">
        <v>148</v>
      </c>
      <c r="H44" s="8"/>
      <c r="I44" s="11"/>
      <c r="J44" s="11"/>
      <c r="K44" s="8" t="s">
        <v>133</v>
      </c>
      <c r="L44" s="15" t="n">
        <f aca="false">IF(J44="Complete",1,IF(J44="In Progress",0.5,0))</f>
        <v>0</v>
      </c>
      <c r="M44" s="8"/>
      <c r="N44" s="8"/>
    </row>
    <row r="45" customFormat="false" ht="15" hidden="false" customHeight="true" outlineLevel="0" collapsed="false">
      <c r="B45" s="1" t="n">
        <v>35</v>
      </c>
      <c r="C45" s="1" t="s">
        <v>241</v>
      </c>
      <c r="D45" s="21" t="s">
        <v>137</v>
      </c>
      <c r="E45" s="1" t="s">
        <v>242</v>
      </c>
      <c r="F45" s="1" t="s">
        <v>243</v>
      </c>
      <c r="G45" s="8" t="s">
        <v>169</v>
      </c>
      <c r="H45" s="8"/>
      <c r="I45" s="11"/>
      <c r="J45" s="11"/>
      <c r="K45" s="8" t="s">
        <v>133</v>
      </c>
      <c r="L45" s="15" t="n">
        <f aca="false">IF(J45="Complete",1,IF(J45="In Progress",0.5,0))</f>
        <v>0</v>
      </c>
      <c r="M45" s="8"/>
      <c r="N45" s="8"/>
    </row>
    <row r="46" customFormat="false" ht="15" hidden="false" customHeight="true" outlineLevel="0" collapsed="false">
      <c r="B46" s="1" t="n">
        <v>36</v>
      </c>
      <c r="C46" s="1" t="s">
        <v>241</v>
      </c>
      <c r="D46" s="21" t="s">
        <v>137</v>
      </c>
      <c r="E46" s="1" t="s">
        <v>244</v>
      </c>
      <c r="F46" s="1" t="s">
        <v>245</v>
      </c>
      <c r="G46" s="8" t="s">
        <v>148</v>
      </c>
      <c r="H46" s="8"/>
      <c r="I46" s="11"/>
      <c r="J46" s="11"/>
      <c r="K46" s="8" t="s">
        <v>133</v>
      </c>
      <c r="L46" s="15" t="n">
        <f aca="false">IF(J46="Complete",1,IF(J46="In Progress",0.5,0))</f>
        <v>0</v>
      </c>
      <c r="M46" s="8"/>
      <c r="N46" s="8"/>
    </row>
    <row r="47" customFormat="false" ht="15" hidden="false" customHeight="true" outlineLevel="0" collapsed="false">
      <c r="B47" s="1" t="n">
        <v>37</v>
      </c>
      <c r="C47" s="1" t="s">
        <v>241</v>
      </c>
      <c r="D47" s="21" t="s">
        <v>137</v>
      </c>
      <c r="E47" s="1" t="s">
        <v>246</v>
      </c>
      <c r="F47" s="1" t="s">
        <v>247</v>
      </c>
      <c r="G47" s="8" t="s">
        <v>148</v>
      </c>
      <c r="H47" s="8"/>
      <c r="I47" s="11"/>
      <c r="J47" s="11"/>
      <c r="K47" s="8" t="s">
        <v>133</v>
      </c>
      <c r="L47" s="15" t="n">
        <f aca="false">IF(J47="Complete",1,IF(J47="In Progress",0.5,0))</f>
        <v>0</v>
      </c>
      <c r="M47" s="8"/>
      <c r="N47" s="8"/>
    </row>
    <row r="48" customFormat="false" ht="15" hidden="false" customHeight="true" outlineLevel="0" collapsed="false">
      <c r="B48" s="1" t="n">
        <v>38</v>
      </c>
      <c r="C48" s="1" t="s">
        <v>241</v>
      </c>
      <c r="D48" s="21" t="s">
        <v>137</v>
      </c>
      <c r="E48" s="1" t="s">
        <v>248</v>
      </c>
      <c r="F48" s="1" t="s">
        <v>249</v>
      </c>
      <c r="G48" s="8" t="s">
        <v>149</v>
      </c>
      <c r="H48" s="8"/>
      <c r="I48" s="11"/>
      <c r="J48" s="11"/>
      <c r="K48" s="8" t="s">
        <v>133</v>
      </c>
      <c r="L48" s="15" t="n">
        <f aca="false">IF(J48="Complete",1,IF(J48="In Progress",0.5,0))</f>
        <v>0</v>
      </c>
      <c r="M48" s="8"/>
      <c r="N48" s="8"/>
    </row>
    <row r="49" customFormat="false" ht="15" hidden="false" customHeight="true" outlineLevel="0" collapsed="false">
      <c r="B49" s="1" t="n">
        <v>39</v>
      </c>
      <c r="C49" s="1" t="s">
        <v>241</v>
      </c>
      <c r="D49" s="21" t="s">
        <v>137</v>
      </c>
      <c r="E49" s="1" t="s">
        <v>250</v>
      </c>
      <c r="F49" s="1" t="s">
        <v>251</v>
      </c>
      <c r="G49" s="8" t="s">
        <v>148</v>
      </c>
      <c r="H49" s="8"/>
      <c r="I49" s="11"/>
      <c r="J49" s="11"/>
      <c r="K49" s="8" t="s">
        <v>133</v>
      </c>
      <c r="L49" s="15" t="n">
        <f aca="false">IF(J49="Complete",1,IF(J49="In Progress",0.5,0))</f>
        <v>0</v>
      </c>
      <c r="M49" s="8"/>
      <c r="N49" s="8"/>
    </row>
    <row r="50" customFormat="false" ht="15" hidden="false" customHeight="true" outlineLevel="0" collapsed="false">
      <c r="B50" s="1" t="n">
        <v>40</v>
      </c>
      <c r="C50" s="1" t="s">
        <v>241</v>
      </c>
      <c r="D50" s="21" t="s">
        <v>137</v>
      </c>
      <c r="E50" s="1" t="s">
        <v>252</v>
      </c>
      <c r="F50" s="1" t="s">
        <v>253</v>
      </c>
      <c r="G50" s="8" t="s">
        <v>149</v>
      </c>
      <c r="H50" s="8"/>
      <c r="I50" s="11"/>
      <c r="J50" s="11"/>
      <c r="K50" s="8" t="s">
        <v>133</v>
      </c>
      <c r="L50" s="15" t="n">
        <f aca="false">IF(J50="Complete",1,IF(J50="In Progress",0.5,0))</f>
        <v>0</v>
      </c>
      <c r="M50" s="8"/>
      <c r="N50" s="8"/>
    </row>
    <row r="51" customFormat="false" ht="15" hidden="false" customHeight="true" outlineLevel="0" collapsed="false">
      <c r="B51" s="1" t="n">
        <v>41</v>
      </c>
      <c r="C51" s="1" t="s">
        <v>254</v>
      </c>
      <c r="D51" s="21" t="s">
        <v>137</v>
      </c>
      <c r="E51" s="1" t="s">
        <v>255</v>
      </c>
      <c r="F51" s="1" t="s">
        <v>256</v>
      </c>
      <c r="G51" s="8" t="s">
        <v>169</v>
      </c>
      <c r="H51" s="8"/>
      <c r="I51" s="11"/>
      <c r="J51" s="11"/>
      <c r="K51" s="8" t="s">
        <v>133</v>
      </c>
      <c r="L51" s="15" t="n">
        <f aca="false">IF(J51="Complete",1,IF(J51="In Progress",0.5,0))</f>
        <v>0</v>
      </c>
      <c r="M51" s="8"/>
      <c r="N51" s="8"/>
    </row>
    <row r="52" customFormat="false" ht="15" hidden="false" customHeight="true" outlineLevel="0" collapsed="false">
      <c r="B52" s="1" t="n">
        <v>42</v>
      </c>
      <c r="C52" s="1" t="s">
        <v>254</v>
      </c>
      <c r="D52" s="21" t="s">
        <v>137</v>
      </c>
      <c r="E52" s="1" t="s">
        <v>257</v>
      </c>
      <c r="F52" s="1" t="s">
        <v>258</v>
      </c>
      <c r="G52" s="8" t="s">
        <v>169</v>
      </c>
      <c r="H52" s="8"/>
      <c r="I52" s="11"/>
      <c r="J52" s="11"/>
      <c r="K52" s="8" t="s">
        <v>133</v>
      </c>
      <c r="L52" s="15" t="n">
        <f aca="false">IF(J52="Complete",1,IF(J52="In Progress",0.5,0))</f>
        <v>0</v>
      </c>
      <c r="M52" s="8"/>
      <c r="N52" s="8"/>
    </row>
    <row r="53" customFormat="false" ht="15" hidden="false" customHeight="true" outlineLevel="0" collapsed="false">
      <c r="B53" s="1" t="n">
        <v>43</v>
      </c>
      <c r="C53" s="1" t="s">
        <v>254</v>
      </c>
      <c r="D53" s="21" t="s">
        <v>137</v>
      </c>
      <c r="E53" s="1" t="s">
        <v>259</v>
      </c>
      <c r="F53" s="1" t="s">
        <v>260</v>
      </c>
      <c r="G53" s="8" t="s">
        <v>148</v>
      </c>
      <c r="H53" s="8"/>
      <c r="I53" s="11"/>
      <c r="J53" s="11"/>
      <c r="K53" s="8" t="s">
        <v>133</v>
      </c>
      <c r="L53" s="15" t="n">
        <f aca="false">IF(J53="Complete",1,IF(J53="In Progress",0.5,0))</f>
        <v>0</v>
      </c>
      <c r="M53" s="8"/>
      <c r="N53" s="8"/>
    </row>
    <row r="54" customFormat="false" ht="15" hidden="false" customHeight="true" outlineLevel="0" collapsed="false">
      <c r="B54" s="1" t="n">
        <v>44</v>
      </c>
      <c r="C54" s="1" t="s">
        <v>254</v>
      </c>
      <c r="D54" s="21" t="s">
        <v>137</v>
      </c>
      <c r="E54" s="1" t="s">
        <v>261</v>
      </c>
      <c r="F54" s="1" t="s">
        <v>262</v>
      </c>
      <c r="G54" s="8" t="s">
        <v>148</v>
      </c>
      <c r="H54" s="8"/>
      <c r="I54" s="11"/>
      <c r="J54" s="11"/>
      <c r="K54" s="8" t="s">
        <v>133</v>
      </c>
      <c r="L54" s="15" t="n">
        <f aca="false">IF(J54="Complete",1,IF(J54="In Progress",0.5,0))</f>
        <v>0</v>
      </c>
      <c r="M54" s="8"/>
      <c r="N54" s="8"/>
    </row>
    <row r="55" customFormat="false" ht="15" hidden="false" customHeight="true" outlineLevel="0" collapsed="false">
      <c r="B55" s="1" t="n">
        <v>45</v>
      </c>
      <c r="C55" s="1" t="s">
        <v>254</v>
      </c>
      <c r="D55" s="21" t="s">
        <v>137</v>
      </c>
      <c r="E55" s="1" t="s">
        <v>263</v>
      </c>
      <c r="F55" s="1" t="s">
        <v>264</v>
      </c>
      <c r="G55" s="8" t="s">
        <v>149</v>
      </c>
      <c r="H55" s="8"/>
      <c r="I55" s="11"/>
      <c r="J55" s="11"/>
      <c r="K55" s="8" t="s">
        <v>133</v>
      </c>
      <c r="L55" s="15" t="n">
        <f aca="false">IF(J55="Complete",1,IF(J55="In Progress",0.5,0))</f>
        <v>0</v>
      </c>
      <c r="M55" s="8"/>
      <c r="N55" s="8"/>
    </row>
    <row r="56" customFormat="false" ht="15" hidden="false" customHeight="true" outlineLevel="0" collapsed="false">
      <c r="B56" s="1" t="n">
        <v>46</v>
      </c>
      <c r="C56" s="1" t="s">
        <v>254</v>
      </c>
      <c r="D56" s="21" t="s">
        <v>137</v>
      </c>
      <c r="E56" s="1" t="s">
        <v>265</v>
      </c>
      <c r="F56" s="1" t="s">
        <v>266</v>
      </c>
      <c r="G56" s="8" t="s">
        <v>148</v>
      </c>
      <c r="H56" s="8"/>
      <c r="I56" s="11"/>
      <c r="J56" s="11"/>
      <c r="K56" s="8" t="s">
        <v>133</v>
      </c>
      <c r="L56" s="15" t="n">
        <f aca="false">IF(J56="Complete",1,IF(J56="In Progress",0.5,0))</f>
        <v>0</v>
      </c>
      <c r="M56" s="8"/>
      <c r="N56" s="8"/>
    </row>
    <row r="57" customFormat="false" ht="15" hidden="false" customHeight="true" outlineLevel="0" collapsed="false">
      <c r="B57" s="1" t="n">
        <v>47</v>
      </c>
      <c r="C57" s="1" t="s">
        <v>267</v>
      </c>
      <c r="D57" s="21" t="s">
        <v>137</v>
      </c>
      <c r="E57" s="1" t="s">
        <v>268</v>
      </c>
      <c r="F57" s="1" t="s">
        <v>269</v>
      </c>
      <c r="G57" s="8" t="s">
        <v>169</v>
      </c>
      <c r="H57" s="8"/>
      <c r="I57" s="11"/>
      <c r="J57" s="11"/>
      <c r="K57" s="8" t="s">
        <v>133</v>
      </c>
      <c r="L57" s="15" t="n">
        <f aca="false">IF(J57="Complete",1,IF(J57="In Progress",0.5,0))</f>
        <v>0</v>
      </c>
      <c r="M57" s="8"/>
      <c r="N57" s="8"/>
    </row>
    <row r="58" customFormat="false" ht="15" hidden="false" customHeight="true" outlineLevel="0" collapsed="false">
      <c r="B58" s="1" t="n">
        <v>48</v>
      </c>
      <c r="C58" s="1" t="s">
        <v>267</v>
      </c>
      <c r="D58" s="21" t="s">
        <v>137</v>
      </c>
      <c r="E58" s="1" t="s">
        <v>270</v>
      </c>
      <c r="F58" s="1" t="s">
        <v>271</v>
      </c>
      <c r="G58" s="8" t="s">
        <v>148</v>
      </c>
      <c r="H58" s="8"/>
      <c r="I58" s="11"/>
      <c r="J58" s="11"/>
      <c r="K58" s="8" t="s">
        <v>133</v>
      </c>
      <c r="L58" s="15" t="n">
        <f aca="false">IF(J58="Complete",1,IF(J58="In Progress",0.5,0))</f>
        <v>0</v>
      </c>
      <c r="M58" s="8"/>
      <c r="N58" s="8"/>
    </row>
    <row r="59" customFormat="false" ht="15" hidden="false" customHeight="true" outlineLevel="0" collapsed="false">
      <c r="B59" s="1" t="n">
        <v>49</v>
      </c>
      <c r="C59" s="1" t="s">
        <v>267</v>
      </c>
      <c r="D59" s="21" t="s">
        <v>137</v>
      </c>
      <c r="E59" s="1" t="s">
        <v>272</v>
      </c>
      <c r="F59" s="1" t="s">
        <v>273</v>
      </c>
      <c r="G59" s="8" t="s">
        <v>149</v>
      </c>
      <c r="H59" s="8"/>
      <c r="I59" s="11"/>
      <c r="J59" s="11"/>
      <c r="K59" s="8" t="s">
        <v>133</v>
      </c>
      <c r="L59" s="15" t="n">
        <f aca="false">IF(J59="Complete",1,IF(J59="In Progress",0.5,0))</f>
        <v>0</v>
      </c>
      <c r="M59" s="8"/>
      <c r="N59" s="8"/>
    </row>
    <row r="60" customFormat="false" ht="15" hidden="false" customHeight="true" outlineLevel="0" collapsed="false">
      <c r="B60" s="1" t="n">
        <v>50</v>
      </c>
      <c r="C60" s="1" t="s">
        <v>267</v>
      </c>
      <c r="D60" s="21" t="s">
        <v>137</v>
      </c>
      <c r="E60" s="1" t="s">
        <v>274</v>
      </c>
      <c r="F60" s="1" t="s">
        <v>275</v>
      </c>
      <c r="G60" s="8" t="s">
        <v>169</v>
      </c>
      <c r="H60" s="8"/>
      <c r="I60" s="11"/>
      <c r="J60" s="11"/>
      <c r="K60" s="8" t="s">
        <v>133</v>
      </c>
      <c r="L60" s="15" t="n">
        <f aca="false">IF(J60="Complete",1,IF(J60="In Progress",0.5,0))</f>
        <v>0</v>
      </c>
      <c r="M60" s="8"/>
      <c r="N60" s="8"/>
    </row>
    <row r="61" customFormat="false" ht="15" hidden="false" customHeight="true" outlineLevel="0" collapsed="false">
      <c r="B61" s="1" t="n">
        <v>51</v>
      </c>
      <c r="C61" s="1" t="s">
        <v>276</v>
      </c>
      <c r="D61" s="21" t="s">
        <v>137</v>
      </c>
      <c r="E61" s="1" t="s">
        <v>277</v>
      </c>
      <c r="F61" s="1" t="s">
        <v>278</v>
      </c>
      <c r="G61" s="8" t="s">
        <v>148</v>
      </c>
      <c r="H61" s="8"/>
      <c r="I61" s="11"/>
      <c r="J61" s="11"/>
      <c r="K61" s="8" t="s">
        <v>133</v>
      </c>
      <c r="L61" s="15" t="n">
        <f aca="false">IF(J61="Complete",1,IF(J61="In Progress",0.5,0))</f>
        <v>0</v>
      </c>
      <c r="M61" s="8"/>
      <c r="N61" s="8"/>
    </row>
    <row r="62" customFormat="false" ht="15" hidden="false" customHeight="true" outlineLevel="0" collapsed="false">
      <c r="B62" s="1" t="n">
        <v>52</v>
      </c>
      <c r="C62" s="1" t="s">
        <v>276</v>
      </c>
      <c r="D62" s="21" t="s">
        <v>137</v>
      </c>
      <c r="E62" s="1" t="s">
        <v>279</v>
      </c>
      <c r="F62" s="1" t="s">
        <v>280</v>
      </c>
      <c r="G62" s="8" t="s">
        <v>149</v>
      </c>
      <c r="H62" s="8"/>
      <c r="I62" s="11"/>
      <c r="J62" s="11"/>
      <c r="K62" s="8" t="s">
        <v>133</v>
      </c>
      <c r="L62" s="15" t="n">
        <f aca="false">IF(J62="Complete",1,IF(J62="In Progress",0.5,0))</f>
        <v>0</v>
      </c>
      <c r="M62" s="8"/>
      <c r="N62" s="8"/>
    </row>
    <row r="63" customFormat="false" ht="15" hidden="false" customHeight="true" outlineLevel="0" collapsed="false">
      <c r="B63" s="1" t="n">
        <v>53</v>
      </c>
      <c r="C63" s="1" t="s">
        <v>276</v>
      </c>
      <c r="D63" s="21" t="s">
        <v>137</v>
      </c>
      <c r="E63" s="1" t="s">
        <v>281</v>
      </c>
      <c r="F63" s="1" t="s">
        <v>282</v>
      </c>
      <c r="G63" s="8" t="s">
        <v>149</v>
      </c>
      <c r="H63" s="8"/>
      <c r="I63" s="11"/>
      <c r="J63" s="11"/>
      <c r="K63" s="8" t="s">
        <v>133</v>
      </c>
      <c r="L63" s="15" t="n">
        <f aca="false">IF(J63="Complete",1,IF(J63="In Progress",0.5,0))</f>
        <v>0</v>
      </c>
      <c r="M63" s="8"/>
      <c r="N63" s="8"/>
    </row>
    <row r="64" customFormat="false" ht="15" hidden="false" customHeight="true" outlineLevel="0" collapsed="false">
      <c r="B64" s="1" t="n">
        <v>54</v>
      </c>
      <c r="C64" s="1" t="s">
        <v>283</v>
      </c>
      <c r="D64" s="21" t="s">
        <v>137</v>
      </c>
      <c r="E64" s="1" t="s">
        <v>284</v>
      </c>
      <c r="F64" s="1" t="s">
        <v>285</v>
      </c>
      <c r="G64" s="8" t="s">
        <v>169</v>
      </c>
      <c r="H64" s="8"/>
      <c r="I64" s="11"/>
      <c r="J64" s="11"/>
      <c r="K64" s="8" t="s">
        <v>133</v>
      </c>
      <c r="L64" s="15" t="n">
        <f aca="false">IF(J64="Complete",1,IF(J64="In Progress",0.5,0))</f>
        <v>0</v>
      </c>
      <c r="M64" s="8"/>
      <c r="N64" s="8"/>
    </row>
    <row r="65" customFormat="false" ht="15" hidden="false" customHeight="true" outlineLevel="0" collapsed="false">
      <c r="B65" s="1" t="n">
        <v>55</v>
      </c>
      <c r="C65" s="1" t="s">
        <v>283</v>
      </c>
      <c r="D65" s="21" t="s">
        <v>137</v>
      </c>
      <c r="E65" s="1" t="s">
        <v>286</v>
      </c>
      <c r="F65" s="1" t="s">
        <v>287</v>
      </c>
      <c r="G65" s="8" t="s">
        <v>148</v>
      </c>
      <c r="H65" s="8"/>
      <c r="I65" s="11"/>
      <c r="J65" s="11"/>
      <c r="K65" s="8" t="s">
        <v>133</v>
      </c>
      <c r="L65" s="15" t="n">
        <f aca="false">IF(J65="Complete",1,IF(J65="In Progress",0.5,0))</f>
        <v>0</v>
      </c>
      <c r="M65" s="8"/>
      <c r="N65" s="8"/>
    </row>
    <row r="66" customFormat="false" ht="15" hidden="false" customHeight="true" outlineLevel="0" collapsed="false">
      <c r="B66" s="1" t="n">
        <v>56</v>
      </c>
      <c r="C66" s="1" t="s">
        <v>288</v>
      </c>
      <c r="D66" s="21" t="s">
        <v>137</v>
      </c>
      <c r="E66" s="1" t="s">
        <v>289</v>
      </c>
      <c r="F66" s="1" t="s">
        <v>290</v>
      </c>
      <c r="G66" s="8" t="s">
        <v>169</v>
      </c>
      <c r="H66" s="8"/>
      <c r="I66" s="11"/>
      <c r="J66" s="11"/>
      <c r="K66" s="8" t="s">
        <v>133</v>
      </c>
      <c r="L66" s="15" t="n">
        <f aca="false">IF(J66="Complete",1,IF(J66="In Progress",0.5,0))</f>
        <v>0</v>
      </c>
      <c r="M66" s="8"/>
      <c r="N66" s="8"/>
    </row>
    <row r="67" customFormat="false" ht="15" hidden="false" customHeight="true" outlineLevel="0" collapsed="false">
      <c r="B67" s="1" t="n">
        <v>57</v>
      </c>
      <c r="C67" s="1" t="s">
        <v>288</v>
      </c>
      <c r="D67" s="21" t="s">
        <v>137</v>
      </c>
      <c r="E67" s="1" t="s">
        <v>291</v>
      </c>
      <c r="F67" s="1" t="s">
        <v>292</v>
      </c>
      <c r="G67" s="8" t="s">
        <v>148</v>
      </c>
      <c r="H67" s="8"/>
      <c r="I67" s="11"/>
      <c r="J67" s="11"/>
      <c r="K67" s="8" t="s">
        <v>133</v>
      </c>
      <c r="L67" s="15" t="n">
        <f aca="false">IF(J67="Complete",1,IF(J67="In Progress",0.5,0))</f>
        <v>0</v>
      </c>
      <c r="M67" s="8"/>
      <c r="N67" s="8"/>
    </row>
    <row r="68" customFormat="false" ht="15" hidden="false" customHeight="true" outlineLevel="0" collapsed="false">
      <c r="B68" s="1" t="n">
        <v>58</v>
      </c>
      <c r="C68" s="1" t="s">
        <v>288</v>
      </c>
      <c r="D68" s="21" t="s">
        <v>137</v>
      </c>
      <c r="E68" s="1" t="s">
        <v>293</v>
      </c>
      <c r="F68" s="1" t="s">
        <v>294</v>
      </c>
      <c r="G68" s="8" t="s">
        <v>149</v>
      </c>
      <c r="H68" s="8"/>
      <c r="I68" s="11"/>
      <c r="J68" s="11"/>
      <c r="K68" s="8" t="s">
        <v>133</v>
      </c>
      <c r="L68" s="15" t="n">
        <f aca="false">IF(J68="Complete",1,IF(J68="In Progress",0.5,0))</f>
        <v>0</v>
      </c>
      <c r="M68" s="8"/>
      <c r="N68" s="8"/>
    </row>
    <row r="69" customFormat="false" ht="15" hidden="false" customHeight="true" outlineLevel="0" collapsed="false">
      <c r="B69" s="1" t="n">
        <v>59</v>
      </c>
      <c r="C69" s="1" t="s">
        <v>288</v>
      </c>
      <c r="D69" s="21" t="s">
        <v>137</v>
      </c>
      <c r="E69" s="1" t="s">
        <v>295</v>
      </c>
      <c r="F69" s="1" t="s">
        <v>296</v>
      </c>
      <c r="G69" s="8" t="s">
        <v>148</v>
      </c>
      <c r="H69" s="8"/>
      <c r="I69" s="11"/>
      <c r="J69" s="11"/>
      <c r="K69" s="8" t="s">
        <v>133</v>
      </c>
      <c r="L69" s="15" t="n">
        <f aca="false">IF(J69="Complete",1,IF(J69="In Progress",0.5,0))</f>
        <v>0</v>
      </c>
      <c r="M69" s="8"/>
      <c r="N69" s="8"/>
    </row>
    <row r="70" customFormat="false" ht="15" hidden="false" customHeight="true" outlineLevel="0" collapsed="false">
      <c r="B70" s="1" t="n">
        <v>60</v>
      </c>
      <c r="C70" s="1" t="s">
        <v>297</v>
      </c>
      <c r="D70" s="21" t="s">
        <v>137</v>
      </c>
      <c r="E70" s="1" t="s">
        <v>298</v>
      </c>
      <c r="F70" s="1" t="s">
        <v>299</v>
      </c>
      <c r="G70" s="8" t="s">
        <v>169</v>
      </c>
      <c r="H70" s="8"/>
      <c r="I70" s="11"/>
      <c r="J70" s="11"/>
      <c r="K70" s="8" t="s">
        <v>133</v>
      </c>
      <c r="L70" s="15" t="n">
        <f aca="false">IF(J70="Complete",1,IF(J70="In Progress",0.5,0))</f>
        <v>0</v>
      </c>
      <c r="M70" s="8"/>
      <c r="N70" s="8"/>
    </row>
    <row r="71" customFormat="false" ht="15" hidden="false" customHeight="true" outlineLevel="0" collapsed="false">
      <c r="B71" s="1" t="n">
        <v>61</v>
      </c>
      <c r="C71" s="1" t="s">
        <v>297</v>
      </c>
      <c r="D71" s="21" t="s">
        <v>137</v>
      </c>
      <c r="E71" s="1" t="s">
        <v>300</v>
      </c>
      <c r="F71" s="1" t="s">
        <v>301</v>
      </c>
      <c r="G71" s="8" t="s">
        <v>148</v>
      </c>
      <c r="H71" s="8"/>
      <c r="I71" s="11"/>
      <c r="J71" s="11"/>
      <c r="K71" s="8" t="s">
        <v>133</v>
      </c>
      <c r="L71" s="15" t="n">
        <f aca="false">IF(J71="Complete",1,IF(J71="In Progress",0.5,0))</f>
        <v>0</v>
      </c>
      <c r="M71" s="8"/>
      <c r="N71" s="8"/>
    </row>
    <row r="72" customFormat="false" ht="15" hidden="false" customHeight="true" outlineLevel="0" collapsed="false">
      <c r="B72" s="1" t="n">
        <v>62</v>
      </c>
      <c r="C72" s="1" t="s">
        <v>302</v>
      </c>
      <c r="D72" s="21" t="s">
        <v>137</v>
      </c>
      <c r="E72" s="1" t="s">
        <v>303</v>
      </c>
      <c r="F72" s="1" t="s">
        <v>304</v>
      </c>
      <c r="G72" s="8" t="s">
        <v>169</v>
      </c>
      <c r="H72" s="8"/>
      <c r="I72" s="11"/>
      <c r="J72" s="11"/>
      <c r="K72" s="8" t="s">
        <v>133</v>
      </c>
      <c r="L72" s="15" t="n">
        <f aca="false">IF(J72="Complete",1,IF(J72="In Progress",0.5,0))</f>
        <v>0</v>
      </c>
      <c r="M72" s="8"/>
      <c r="N72" s="8"/>
    </row>
    <row r="73" customFormat="false" ht="15" hidden="false" customHeight="true" outlineLevel="0" collapsed="false">
      <c r="B73" s="1" t="n">
        <v>63</v>
      </c>
      <c r="C73" s="1" t="s">
        <v>302</v>
      </c>
      <c r="D73" s="21" t="s">
        <v>137</v>
      </c>
      <c r="E73" s="1" t="s">
        <v>305</v>
      </c>
      <c r="F73" s="1" t="s">
        <v>306</v>
      </c>
      <c r="G73" s="8" t="s">
        <v>149</v>
      </c>
      <c r="H73" s="8"/>
      <c r="I73" s="11"/>
      <c r="J73" s="11"/>
      <c r="K73" s="8" t="s">
        <v>133</v>
      </c>
      <c r="L73" s="15" t="n">
        <f aca="false">IF(J73="Complete",1,IF(J73="In Progress",0.5,0))</f>
        <v>0</v>
      </c>
      <c r="M73" s="8"/>
      <c r="N73" s="8"/>
    </row>
    <row r="74" customFormat="false" ht="15" hidden="false" customHeight="true" outlineLevel="0" collapsed="false">
      <c r="B74" s="1" t="n">
        <v>64</v>
      </c>
      <c r="C74" s="1" t="s">
        <v>307</v>
      </c>
      <c r="D74" s="21" t="s">
        <v>137</v>
      </c>
      <c r="E74" s="1" t="s">
        <v>308</v>
      </c>
      <c r="F74" s="1" t="s">
        <v>309</v>
      </c>
      <c r="G74" s="8" t="s">
        <v>169</v>
      </c>
      <c r="H74" s="8"/>
      <c r="I74" s="11"/>
      <c r="J74" s="11"/>
      <c r="K74" s="8" t="s">
        <v>133</v>
      </c>
      <c r="L74" s="15" t="n">
        <f aca="false">IF(J74="Complete",1,IF(J74="In Progress",0.5,0))</f>
        <v>0</v>
      </c>
      <c r="M74" s="8"/>
      <c r="N74" s="8"/>
    </row>
    <row r="75" customFormat="false" ht="15" hidden="false" customHeight="true" outlineLevel="0" collapsed="false">
      <c r="B75" s="1" t="n">
        <v>65</v>
      </c>
      <c r="C75" s="1" t="s">
        <v>307</v>
      </c>
      <c r="D75" s="21" t="s">
        <v>137</v>
      </c>
      <c r="E75" s="1" t="s">
        <v>310</v>
      </c>
      <c r="F75" s="1" t="s">
        <v>311</v>
      </c>
      <c r="G75" s="8" t="s">
        <v>148</v>
      </c>
      <c r="H75" s="8"/>
      <c r="I75" s="11"/>
      <c r="J75" s="11"/>
      <c r="K75" s="8" t="s">
        <v>133</v>
      </c>
      <c r="L75" s="15" t="n">
        <f aca="false">IF(J75="Complete",1,IF(J75="In Progress",0.5,0))</f>
        <v>0</v>
      </c>
      <c r="M75" s="8"/>
      <c r="N75" s="8"/>
    </row>
    <row r="76" customFormat="false" ht="15" hidden="false" customHeight="true" outlineLevel="0" collapsed="false">
      <c r="B76" s="1" t="n">
        <v>66</v>
      </c>
      <c r="C76" s="1" t="s">
        <v>312</v>
      </c>
      <c r="D76" s="21" t="s">
        <v>138</v>
      </c>
      <c r="E76" s="1" t="s">
        <v>313</v>
      </c>
      <c r="F76" s="1" t="s">
        <v>314</v>
      </c>
      <c r="G76" s="8" t="s">
        <v>169</v>
      </c>
      <c r="H76" s="8"/>
      <c r="I76" s="11"/>
      <c r="J76" s="11"/>
      <c r="K76" s="8" t="s">
        <v>133</v>
      </c>
      <c r="L76" s="15" t="n">
        <f aca="false">IF(J76="Complete",1,IF(J76="In Progress",0.5,0))</f>
        <v>0</v>
      </c>
      <c r="M76" s="8"/>
      <c r="N76" s="8"/>
    </row>
    <row r="77" customFormat="false" ht="15" hidden="false" customHeight="true" outlineLevel="0" collapsed="false">
      <c r="B77" s="1" t="n">
        <v>67</v>
      </c>
      <c r="C77" s="1" t="s">
        <v>312</v>
      </c>
      <c r="D77" s="21" t="s">
        <v>138</v>
      </c>
      <c r="E77" s="1" t="s">
        <v>315</v>
      </c>
      <c r="F77" s="1" t="s">
        <v>316</v>
      </c>
      <c r="G77" s="8" t="s">
        <v>148</v>
      </c>
      <c r="H77" s="8"/>
      <c r="I77" s="11"/>
      <c r="J77" s="11"/>
      <c r="K77" s="8" t="s">
        <v>133</v>
      </c>
      <c r="L77" s="15" t="n">
        <f aca="false">IF(J77="Complete",1,IF(J77="In Progress",0.5,0))</f>
        <v>0</v>
      </c>
      <c r="M77" s="8"/>
      <c r="N77" s="8"/>
    </row>
    <row r="78" customFormat="false" ht="15" hidden="false" customHeight="true" outlineLevel="0" collapsed="false">
      <c r="B78" s="1" t="n">
        <v>68</v>
      </c>
      <c r="C78" s="1" t="s">
        <v>312</v>
      </c>
      <c r="D78" s="21" t="s">
        <v>138</v>
      </c>
      <c r="E78" s="1" t="s">
        <v>317</v>
      </c>
      <c r="F78" s="1" t="s">
        <v>318</v>
      </c>
      <c r="G78" s="8" t="s">
        <v>148</v>
      </c>
      <c r="H78" s="8"/>
      <c r="I78" s="11"/>
      <c r="J78" s="11"/>
      <c r="K78" s="8" t="s">
        <v>133</v>
      </c>
      <c r="L78" s="15" t="n">
        <f aca="false">IF(J78="Complete",1,IF(J78="In Progress",0.5,0))</f>
        <v>0</v>
      </c>
      <c r="M78" s="8"/>
      <c r="N78" s="8"/>
    </row>
    <row r="79" customFormat="false" ht="15" hidden="false" customHeight="true" outlineLevel="0" collapsed="false">
      <c r="B79" s="1" t="n">
        <v>69</v>
      </c>
      <c r="C79" s="1" t="s">
        <v>312</v>
      </c>
      <c r="D79" s="21" t="s">
        <v>138</v>
      </c>
      <c r="E79" s="1" t="s">
        <v>319</v>
      </c>
      <c r="F79" s="1" t="s">
        <v>320</v>
      </c>
      <c r="G79" s="8" t="s">
        <v>148</v>
      </c>
      <c r="H79" s="8"/>
      <c r="I79" s="11"/>
      <c r="J79" s="11"/>
      <c r="K79" s="8" t="s">
        <v>133</v>
      </c>
      <c r="L79" s="15" t="n">
        <f aca="false">IF(J79="Complete",1,IF(J79="In Progress",0.5,0))</f>
        <v>0</v>
      </c>
      <c r="M79" s="8"/>
      <c r="N79" s="8"/>
    </row>
    <row r="80" customFormat="false" ht="15" hidden="false" customHeight="true" outlineLevel="0" collapsed="false">
      <c r="B80" s="1" t="n">
        <v>70</v>
      </c>
      <c r="C80" s="1" t="s">
        <v>321</v>
      </c>
      <c r="D80" s="21" t="s">
        <v>138</v>
      </c>
      <c r="E80" s="1" t="s">
        <v>322</v>
      </c>
      <c r="F80" s="1" t="s">
        <v>323</v>
      </c>
      <c r="G80" s="8" t="s">
        <v>169</v>
      </c>
      <c r="H80" s="8"/>
      <c r="I80" s="11"/>
      <c r="J80" s="11"/>
      <c r="K80" s="8" t="s">
        <v>133</v>
      </c>
      <c r="L80" s="15" t="n">
        <f aca="false">IF(J80="Complete",1,IF(J80="In Progress",0.5,0))</f>
        <v>0</v>
      </c>
      <c r="M80" s="8"/>
      <c r="N80" s="8"/>
    </row>
    <row r="81" customFormat="false" ht="15" hidden="false" customHeight="true" outlineLevel="0" collapsed="false">
      <c r="B81" s="1" t="n">
        <v>71</v>
      </c>
      <c r="C81" s="1" t="s">
        <v>321</v>
      </c>
      <c r="D81" s="21" t="s">
        <v>138</v>
      </c>
      <c r="E81" s="1" t="s">
        <v>324</v>
      </c>
      <c r="F81" s="1" t="s">
        <v>325</v>
      </c>
      <c r="G81" s="8" t="s">
        <v>169</v>
      </c>
      <c r="H81" s="8"/>
      <c r="I81" s="11"/>
      <c r="J81" s="11"/>
      <c r="K81" s="8" t="s">
        <v>133</v>
      </c>
      <c r="L81" s="15" t="n">
        <f aca="false">IF(J81="Complete",1,IF(J81="In Progress",0.5,0))</f>
        <v>0</v>
      </c>
      <c r="M81" s="8"/>
      <c r="N81" s="8"/>
    </row>
    <row r="82" customFormat="false" ht="15" hidden="false" customHeight="true" outlineLevel="0" collapsed="false">
      <c r="B82" s="1" t="n">
        <v>72</v>
      </c>
      <c r="C82" s="1" t="s">
        <v>321</v>
      </c>
      <c r="D82" s="21" t="s">
        <v>138</v>
      </c>
      <c r="E82" s="1" t="s">
        <v>326</v>
      </c>
      <c r="F82" s="1" t="s">
        <v>327</v>
      </c>
      <c r="G82" s="8" t="s">
        <v>169</v>
      </c>
      <c r="H82" s="8"/>
      <c r="I82" s="11"/>
      <c r="J82" s="11"/>
      <c r="K82" s="8" t="s">
        <v>133</v>
      </c>
      <c r="L82" s="15" t="n">
        <f aca="false">IF(J82="Complete",1,IF(J82="In Progress",0.5,0))</f>
        <v>0</v>
      </c>
      <c r="M82" s="8"/>
      <c r="N82" s="8"/>
    </row>
    <row r="83" customFormat="false" ht="15" hidden="false" customHeight="true" outlineLevel="0" collapsed="false">
      <c r="B83" s="1" t="n">
        <v>73</v>
      </c>
      <c r="C83" s="1" t="s">
        <v>321</v>
      </c>
      <c r="D83" s="21" t="s">
        <v>138</v>
      </c>
      <c r="E83" s="1" t="s">
        <v>328</v>
      </c>
      <c r="F83" s="1" t="s">
        <v>329</v>
      </c>
      <c r="G83" s="8" t="s">
        <v>148</v>
      </c>
      <c r="H83" s="8"/>
      <c r="I83" s="11"/>
      <c r="J83" s="11"/>
      <c r="K83" s="8" t="s">
        <v>133</v>
      </c>
      <c r="L83" s="15" t="n">
        <f aca="false">IF(J83="Complete",1,IF(J83="In Progress",0.5,0))</f>
        <v>0</v>
      </c>
      <c r="M83" s="8"/>
      <c r="N83" s="8"/>
    </row>
    <row r="84" customFormat="false" ht="15" hidden="false" customHeight="true" outlineLevel="0" collapsed="false">
      <c r="B84" s="1" t="n">
        <v>74</v>
      </c>
      <c r="C84" s="1" t="s">
        <v>330</v>
      </c>
      <c r="D84" s="21" t="s">
        <v>138</v>
      </c>
      <c r="E84" s="1" t="s">
        <v>331</v>
      </c>
      <c r="F84" s="1" t="s">
        <v>332</v>
      </c>
      <c r="G84" s="8" t="s">
        <v>169</v>
      </c>
      <c r="H84" s="8"/>
      <c r="I84" s="11"/>
      <c r="J84" s="11"/>
      <c r="K84" s="8" t="s">
        <v>133</v>
      </c>
      <c r="L84" s="15" t="n">
        <f aca="false">IF(J84="Complete",1,IF(J84="In Progress",0.5,0))</f>
        <v>0</v>
      </c>
      <c r="M84" s="8"/>
      <c r="N84" s="8"/>
    </row>
    <row r="85" customFormat="false" ht="15" hidden="false" customHeight="true" outlineLevel="0" collapsed="false">
      <c r="B85" s="1" t="n">
        <v>75</v>
      </c>
      <c r="C85" s="1" t="s">
        <v>330</v>
      </c>
      <c r="D85" s="21" t="s">
        <v>138</v>
      </c>
      <c r="E85" s="1" t="s">
        <v>333</v>
      </c>
      <c r="F85" s="1" t="s">
        <v>334</v>
      </c>
      <c r="G85" s="8" t="s">
        <v>169</v>
      </c>
      <c r="H85" s="8"/>
      <c r="I85" s="11"/>
      <c r="J85" s="11"/>
      <c r="K85" s="8" t="s">
        <v>133</v>
      </c>
      <c r="L85" s="15" t="n">
        <f aca="false">IF(J85="Complete",1,IF(J85="In Progress",0.5,0))</f>
        <v>0</v>
      </c>
      <c r="M85" s="8"/>
      <c r="N85" s="8"/>
    </row>
    <row r="86" customFormat="false" ht="15" hidden="false" customHeight="true" outlineLevel="0" collapsed="false">
      <c r="B86" s="1" t="n">
        <v>76</v>
      </c>
      <c r="C86" s="1" t="s">
        <v>330</v>
      </c>
      <c r="D86" s="21" t="s">
        <v>138</v>
      </c>
      <c r="E86" s="1" t="s">
        <v>257</v>
      </c>
      <c r="F86" s="1" t="s">
        <v>335</v>
      </c>
      <c r="G86" s="8" t="s">
        <v>148</v>
      </c>
      <c r="H86" s="8"/>
      <c r="I86" s="11"/>
      <c r="J86" s="11"/>
      <c r="K86" s="8" t="s">
        <v>133</v>
      </c>
      <c r="L86" s="15" t="n">
        <f aca="false">IF(J86="Complete",1,IF(J86="In Progress",0.5,0))</f>
        <v>0</v>
      </c>
      <c r="M86" s="8"/>
      <c r="N86" s="8"/>
    </row>
    <row r="87" customFormat="false" ht="15" hidden="false" customHeight="true" outlineLevel="0" collapsed="false">
      <c r="B87" s="1" t="n">
        <v>77</v>
      </c>
      <c r="C87" s="1" t="s">
        <v>330</v>
      </c>
      <c r="D87" s="21" t="s">
        <v>138</v>
      </c>
      <c r="E87" s="1" t="s">
        <v>336</v>
      </c>
      <c r="F87" s="1" t="s">
        <v>337</v>
      </c>
      <c r="G87" s="8" t="s">
        <v>169</v>
      </c>
      <c r="H87" s="8"/>
      <c r="I87" s="11"/>
      <c r="J87" s="11"/>
      <c r="K87" s="8" t="s">
        <v>133</v>
      </c>
      <c r="L87" s="15" t="n">
        <f aca="false">IF(J87="Complete",1,IF(J87="In Progress",0.5,0))</f>
        <v>0</v>
      </c>
      <c r="M87" s="8"/>
      <c r="N87" s="8"/>
    </row>
    <row r="88" customFormat="false" ht="15" hidden="false" customHeight="true" outlineLevel="0" collapsed="false">
      <c r="B88" s="1" t="n">
        <v>78</v>
      </c>
      <c r="C88" s="1" t="s">
        <v>330</v>
      </c>
      <c r="D88" s="21" t="s">
        <v>138</v>
      </c>
      <c r="E88" s="1" t="s">
        <v>338</v>
      </c>
      <c r="F88" s="1" t="s">
        <v>339</v>
      </c>
      <c r="G88" s="8" t="s">
        <v>148</v>
      </c>
      <c r="H88" s="8"/>
      <c r="I88" s="11"/>
      <c r="J88" s="11"/>
      <c r="K88" s="8" t="s">
        <v>133</v>
      </c>
      <c r="L88" s="15" t="n">
        <f aca="false">IF(J88="Complete",1,IF(J88="In Progress",0.5,0))</f>
        <v>0</v>
      </c>
      <c r="M88" s="8"/>
      <c r="N88" s="8"/>
    </row>
    <row r="89" customFormat="false" ht="15" hidden="false" customHeight="true" outlineLevel="0" collapsed="false">
      <c r="B89" s="1" t="n">
        <v>79</v>
      </c>
      <c r="C89" s="1" t="s">
        <v>330</v>
      </c>
      <c r="D89" s="21" t="s">
        <v>138</v>
      </c>
      <c r="E89" s="1" t="s">
        <v>340</v>
      </c>
      <c r="F89" s="1" t="s">
        <v>341</v>
      </c>
      <c r="G89" s="8" t="s">
        <v>148</v>
      </c>
      <c r="H89" s="8"/>
      <c r="I89" s="11"/>
      <c r="J89" s="11"/>
      <c r="K89" s="8" t="s">
        <v>133</v>
      </c>
      <c r="L89" s="15" t="n">
        <f aca="false">IF(J89="Complete",1,IF(J89="In Progress",0.5,0))</f>
        <v>0</v>
      </c>
      <c r="M89" s="8"/>
      <c r="N89" s="8"/>
    </row>
    <row r="90" customFormat="false" ht="15" hidden="false" customHeight="true" outlineLevel="0" collapsed="false">
      <c r="B90" s="1" t="n">
        <v>80</v>
      </c>
      <c r="C90" s="1" t="s">
        <v>342</v>
      </c>
      <c r="D90" s="21" t="s">
        <v>138</v>
      </c>
      <c r="E90" s="1" t="s">
        <v>343</v>
      </c>
      <c r="F90" s="1" t="s">
        <v>344</v>
      </c>
      <c r="G90" s="8" t="s">
        <v>148</v>
      </c>
      <c r="H90" s="8"/>
      <c r="I90" s="11"/>
      <c r="J90" s="11"/>
      <c r="K90" s="8" t="s">
        <v>133</v>
      </c>
      <c r="L90" s="15" t="n">
        <f aca="false">IF(J90="Complete",1,IF(J90="In Progress",0.5,0))</f>
        <v>0</v>
      </c>
      <c r="M90" s="8"/>
      <c r="N90" s="8"/>
    </row>
    <row r="91" customFormat="false" ht="15" hidden="false" customHeight="true" outlineLevel="0" collapsed="false">
      <c r="B91" s="1" t="n">
        <v>81</v>
      </c>
      <c r="C91" s="1" t="s">
        <v>342</v>
      </c>
      <c r="D91" s="21" t="s">
        <v>138</v>
      </c>
      <c r="E91" s="1" t="s">
        <v>345</v>
      </c>
      <c r="F91" s="1" t="s">
        <v>346</v>
      </c>
      <c r="G91" s="8" t="s">
        <v>148</v>
      </c>
      <c r="H91" s="8"/>
      <c r="I91" s="11"/>
      <c r="J91" s="11"/>
      <c r="K91" s="8" t="s">
        <v>133</v>
      </c>
      <c r="L91" s="15" t="n">
        <f aca="false">IF(J91="Complete",1,IF(J91="In Progress",0.5,0))</f>
        <v>0</v>
      </c>
      <c r="M91" s="8"/>
      <c r="N91" s="8"/>
    </row>
    <row r="92" customFormat="false" ht="15" hidden="false" customHeight="true" outlineLevel="0" collapsed="false">
      <c r="B92" s="1" t="n">
        <v>82</v>
      </c>
      <c r="C92" s="1" t="s">
        <v>342</v>
      </c>
      <c r="D92" s="21" t="s">
        <v>138</v>
      </c>
      <c r="E92" s="1" t="s">
        <v>347</v>
      </c>
      <c r="F92" s="1" t="s">
        <v>348</v>
      </c>
      <c r="G92" s="8" t="s">
        <v>169</v>
      </c>
      <c r="H92" s="8"/>
      <c r="I92" s="11"/>
      <c r="J92" s="11"/>
      <c r="K92" s="8" t="s">
        <v>133</v>
      </c>
      <c r="L92" s="15" t="n">
        <f aca="false">IF(J92="Complete",1,IF(J92="In Progress",0.5,0))</f>
        <v>0</v>
      </c>
      <c r="M92" s="8"/>
      <c r="N92" s="8"/>
    </row>
    <row r="93" customFormat="false" ht="15" hidden="false" customHeight="true" outlineLevel="0" collapsed="false">
      <c r="B93" s="1" t="n">
        <v>83</v>
      </c>
      <c r="C93" s="1" t="s">
        <v>349</v>
      </c>
      <c r="D93" s="21" t="s">
        <v>138</v>
      </c>
      <c r="E93" s="1" t="s">
        <v>350</v>
      </c>
      <c r="F93" s="1" t="s">
        <v>351</v>
      </c>
      <c r="G93" s="8" t="s">
        <v>169</v>
      </c>
      <c r="H93" s="8"/>
      <c r="I93" s="11"/>
      <c r="J93" s="11"/>
      <c r="K93" s="8" t="s">
        <v>133</v>
      </c>
      <c r="L93" s="15" t="n">
        <f aca="false">IF(J93="Complete",1,IF(J93="In Progress",0.5,0))</f>
        <v>0</v>
      </c>
      <c r="M93" s="8"/>
      <c r="N93" s="8"/>
    </row>
    <row r="94" customFormat="false" ht="15" hidden="false" customHeight="true" outlineLevel="0" collapsed="false">
      <c r="B94" s="1" t="n">
        <v>84</v>
      </c>
      <c r="C94" s="1" t="s">
        <v>349</v>
      </c>
      <c r="D94" s="21" t="s">
        <v>138</v>
      </c>
      <c r="E94" s="1" t="s">
        <v>352</v>
      </c>
      <c r="F94" s="1" t="s">
        <v>353</v>
      </c>
      <c r="G94" s="8" t="s">
        <v>148</v>
      </c>
      <c r="H94" s="8"/>
      <c r="I94" s="11"/>
      <c r="J94" s="11"/>
      <c r="K94" s="8" t="s">
        <v>133</v>
      </c>
      <c r="L94" s="15" t="n">
        <f aca="false">IF(J94="Complete",1,IF(J94="In Progress",0.5,0))</f>
        <v>0</v>
      </c>
      <c r="M94" s="8"/>
      <c r="N94" s="8"/>
    </row>
    <row r="95" customFormat="false" ht="15" hidden="false" customHeight="true" outlineLevel="0" collapsed="false">
      <c r="B95" s="1" t="n">
        <v>85</v>
      </c>
      <c r="C95" s="1" t="s">
        <v>349</v>
      </c>
      <c r="D95" s="21" t="s">
        <v>138</v>
      </c>
      <c r="E95" s="1" t="s">
        <v>354</v>
      </c>
      <c r="F95" s="1" t="s">
        <v>355</v>
      </c>
      <c r="G95" s="8" t="s">
        <v>148</v>
      </c>
      <c r="H95" s="8"/>
      <c r="I95" s="11"/>
      <c r="J95" s="11"/>
      <c r="K95" s="8" t="s">
        <v>133</v>
      </c>
      <c r="L95" s="15" t="n">
        <f aca="false">IF(J95="Complete",1,IF(J95="In Progress",0.5,0))</f>
        <v>0</v>
      </c>
      <c r="M95" s="8"/>
      <c r="N95" s="8"/>
    </row>
    <row r="96" customFormat="false" ht="15" hidden="false" customHeight="true" outlineLevel="0" collapsed="false">
      <c r="B96" s="1" t="n">
        <v>86</v>
      </c>
      <c r="C96" s="1" t="s">
        <v>356</v>
      </c>
      <c r="D96" s="21" t="s">
        <v>139</v>
      </c>
      <c r="E96" s="1" t="s">
        <v>357</v>
      </c>
      <c r="F96" s="1" t="s">
        <v>358</v>
      </c>
      <c r="G96" s="8" t="s">
        <v>148</v>
      </c>
      <c r="H96" s="8"/>
      <c r="I96" s="11"/>
      <c r="J96" s="11"/>
      <c r="K96" s="8" t="s">
        <v>133</v>
      </c>
      <c r="L96" s="15" t="n">
        <f aca="false">IF(J96="Complete",1,IF(J96="In Progress",0.5,0))</f>
        <v>0</v>
      </c>
      <c r="M96" s="8"/>
      <c r="N96" s="8"/>
    </row>
    <row r="97" customFormat="false" ht="15" hidden="false" customHeight="true" outlineLevel="0" collapsed="false">
      <c r="B97" s="1" t="n">
        <v>87</v>
      </c>
      <c r="C97" s="1" t="s">
        <v>356</v>
      </c>
      <c r="D97" s="21" t="s">
        <v>139</v>
      </c>
      <c r="E97" s="1" t="s">
        <v>359</v>
      </c>
      <c r="F97" s="1" t="s">
        <v>360</v>
      </c>
      <c r="G97" s="8" t="s">
        <v>148</v>
      </c>
      <c r="H97" s="8"/>
      <c r="I97" s="11"/>
      <c r="J97" s="11"/>
      <c r="K97" s="8" t="s">
        <v>133</v>
      </c>
      <c r="L97" s="15" t="n">
        <f aca="false">IF(J97="Complete",1,IF(J97="In Progress",0.5,0))</f>
        <v>0</v>
      </c>
      <c r="M97" s="8"/>
      <c r="N97" s="8"/>
    </row>
    <row r="98" customFormat="false" ht="15" hidden="false" customHeight="true" outlineLevel="0" collapsed="false">
      <c r="B98" s="1" t="n">
        <v>88</v>
      </c>
      <c r="C98" s="1" t="s">
        <v>356</v>
      </c>
      <c r="D98" s="21" t="s">
        <v>139</v>
      </c>
      <c r="E98" s="1" t="s">
        <v>361</v>
      </c>
      <c r="F98" s="1" t="s">
        <v>362</v>
      </c>
      <c r="G98" s="8" t="s">
        <v>169</v>
      </c>
      <c r="H98" s="8"/>
      <c r="I98" s="11"/>
      <c r="J98" s="11"/>
      <c r="K98" s="8" t="s">
        <v>133</v>
      </c>
      <c r="L98" s="15" t="n">
        <f aca="false">IF(J98="Complete",1,IF(J98="In Progress",0.5,0))</f>
        <v>0</v>
      </c>
      <c r="M98" s="8"/>
      <c r="N98" s="8"/>
    </row>
    <row r="99" customFormat="false" ht="15" hidden="false" customHeight="true" outlineLevel="0" collapsed="false">
      <c r="B99" s="1" t="n">
        <v>89</v>
      </c>
      <c r="C99" s="1" t="s">
        <v>363</v>
      </c>
      <c r="D99" s="21" t="s">
        <v>139</v>
      </c>
      <c r="E99" s="1" t="s">
        <v>364</v>
      </c>
      <c r="F99" s="1" t="s">
        <v>365</v>
      </c>
      <c r="G99" s="8" t="s">
        <v>148</v>
      </c>
      <c r="H99" s="8"/>
      <c r="I99" s="11"/>
      <c r="J99" s="11"/>
      <c r="K99" s="8" t="s">
        <v>133</v>
      </c>
      <c r="L99" s="15" t="n">
        <f aca="false">IF(J99="Complete",1,IF(J99="In Progress",0.5,0))</f>
        <v>0</v>
      </c>
      <c r="M99" s="8"/>
      <c r="N99" s="8"/>
    </row>
    <row r="100" customFormat="false" ht="15" hidden="false" customHeight="true" outlineLevel="0" collapsed="false">
      <c r="B100" s="1" t="n">
        <v>90</v>
      </c>
      <c r="C100" s="1" t="s">
        <v>363</v>
      </c>
      <c r="D100" s="21" t="s">
        <v>139</v>
      </c>
      <c r="E100" s="1" t="s">
        <v>366</v>
      </c>
      <c r="F100" s="1" t="s">
        <v>367</v>
      </c>
      <c r="G100" s="8" t="s">
        <v>148</v>
      </c>
      <c r="H100" s="8"/>
      <c r="I100" s="11"/>
      <c r="J100" s="11"/>
      <c r="K100" s="8" t="s">
        <v>133</v>
      </c>
      <c r="L100" s="15" t="n">
        <f aca="false">IF(J100="Complete",1,IF(J100="In Progress",0.5,0))</f>
        <v>0</v>
      </c>
      <c r="M100" s="8"/>
      <c r="N100" s="8"/>
    </row>
    <row r="101" customFormat="false" ht="15" hidden="false" customHeight="true" outlineLevel="0" collapsed="false">
      <c r="B101" s="1" t="n">
        <v>91</v>
      </c>
      <c r="C101" s="1" t="s">
        <v>363</v>
      </c>
      <c r="D101" s="21" t="s">
        <v>139</v>
      </c>
      <c r="E101" s="1" t="s">
        <v>368</v>
      </c>
      <c r="F101" s="1" t="s">
        <v>369</v>
      </c>
      <c r="G101" s="8" t="s">
        <v>148</v>
      </c>
      <c r="H101" s="8"/>
      <c r="I101" s="11"/>
      <c r="J101" s="11"/>
      <c r="K101" s="8" t="s">
        <v>133</v>
      </c>
      <c r="L101" s="15" t="n">
        <f aca="false">IF(J101="Complete",1,IF(J101="In Progress",0.5,0))</f>
        <v>0</v>
      </c>
      <c r="M101" s="8"/>
      <c r="N101" s="8"/>
    </row>
    <row r="102" customFormat="false" ht="15" hidden="false" customHeight="true" outlineLevel="0" collapsed="false">
      <c r="B102" s="1" t="n">
        <v>92</v>
      </c>
      <c r="C102" s="1" t="s">
        <v>370</v>
      </c>
      <c r="D102" s="21" t="s">
        <v>139</v>
      </c>
      <c r="E102" s="1" t="s">
        <v>371</v>
      </c>
      <c r="F102" s="1" t="s">
        <v>372</v>
      </c>
      <c r="G102" s="8" t="s">
        <v>169</v>
      </c>
      <c r="H102" s="8"/>
      <c r="I102" s="11"/>
      <c r="J102" s="11"/>
      <c r="K102" s="8" t="s">
        <v>133</v>
      </c>
      <c r="L102" s="15" t="n">
        <f aca="false">IF(J102="Complete",1,IF(J102="In Progress",0.5,0))</f>
        <v>0</v>
      </c>
      <c r="M102" s="8"/>
      <c r="N102" s="8"/>
    </row>
    <row r="103" customFormat="false" ht="15" hidden="false" customHeight="true" outlineLevel="0" collapsed="false">
      <c r="B103" s="1" t="n">
        <v>93</v>
      </c>
      <c r="C103" s="1" t="s">
        <v>370</v>
      </c>
      <c r="D103" s="21" t="s">
        <v>139</v>
      </c>
      <c r="E103" s="1" t="s">
        <v>373</v>
      </c>
      <c r="F103" s="1" t="s">
        <v>374</v>
      </c>
      <c r="G103" s="8" t="s">
        <v>148</v>
      </c>
      <c r="H103" s="8"/>
      <c r="I103" s="11"/>
      <c r="J103" s="11"/>
      <c r="K103" s="8" t="s">
        <v>133</v>
      </c>
      <c r="L103" s="15" t="n">
        <f aca="false">IF(J103="Complete",1,IF(J103="In Progress",0.5,0))</f>
        <v>0</v>
      </c>
      <c r="M103" s="8"/>
      <c r="N103" s="8"/>
    </row>
    <row r="104" customFormat="false" ht="15" hidden="false" customHeight="true" outlineLevel="0" collapsed="false">
      <c r="B104" s="1" t="n">
        <v>94</v>
      </c>
      <c r="C104" s="1" t="s">
        <v>370</v>
      </c>
      <c r="D104" s="21" t="s">
        <v>139</v>
      </c>
      <c r="E104" s="1" t="s">
        <v>375</v>
      </c>
      <c r="F104" s="1" t="s">
        <v>376</v>
      </c>
      <c r="G104" s="8" t="s">
        <v>148</v>
      </c>
      <c r="H104" s="8"/>
      <c r="I104" s="11"/>
      <c r="J104" s="11"/>
      <c r="K104" s="8" t="s">
        <v>133</v>
      </c>
      <c r="L104" s="15" t="n">
        <f aca="false">IF(J104="Complete",1,IF(J104="In Progress",0.5,0))</f>
        <v>0</v>
      </c>
      <c r="M104" s="8"/>
      <c r="N104" s="8"/>
    </row>
    <row r="105" customFormat="false" ht="15" hidden="false" customHeight="true" outlineLevel="0" collapsed="false">
      <c r="B105" s="1" t="n">
        <v>95</v>
      </c>
      <c r="C105" s="1" t="s">
        <v>377</v>
      </c>
      <c r="D105" s="21" t="s">
        <v>139</v>
      </c>
      <c r="E105" s="1" t="s">
        <v>378</v>
      </c>
      <c r="F105" s="1" t="s">
        <v>379</v>
      </c>
      <c r="G105" s="8" t="s">
        <v>148</v>
      </c>
      <c r="H105" s="8"/>
      <c r="I105" s="11"/>
      <c r="J105" s="11"/>
      <c r="K105" s="8" t="s">
        <v>133</v>
      </c>
      <c r="L105" s="15" t="n">
        <f aca="false">IF(J105="Complete",1,IF(J105="In Progress",0.5,0))</f>
        <v>0</v>
      </c>
      <c r="M105" s="8"/>
      <c r="N105" s="8"/>
    </row>
    <row r="106" customFormat="false" ht="15" hidden="false" customHeight="true" outlineLevel="0" collapsed="false">
      <c r="B106" s="1" t="n">
        <v>96</v>
      </c>
      <c r="C106" s="1" t="s">
        <v>377</v>
      </c>
      <c r="D106" s="21" t="s">
        <v>139</v>
      </c>
      <c r="E106" s="1" t="s">
        <v>380</v>
      </c>
      <c r="F106" s="1" t="s">
        <v>381</v>
      </c>
      <c r="G106" s="8" t="s">
        <v>149</v>
      </c>
      <c r="H106" s="8"/>
      <c r="I106" s="11"/>
      <c r="J106" s="11"/>
      <c r="K106" s="8" t="s">
        <v>133</v>
      </c>
      <c r="L106" s="15" t="n">
        <f aca="false">IF(J106="Complete",1,IF(J106="In Progress",0.5,0))</f>
        <v>0</v>
      </c>
      <c r="M106" s="8"/>
      <c r="N106" s="8"/>
    </row>
    <row r="107" customFormat="false" ht="15" hidden="false" customHeight="true" outlineLevel="0" collapsed="false">
      <c r="B107" s="1" t="n">
        <v>97</v>
      </c>
      <c r="C107" s="1" t="s">
        <v>377</v>
      </c>
      <c r="D107" s="21" t="s">
        <v>139</v>
      </c>
      <c r="E107" s="1" t="s">
        <v>382</v>
      </c>
      <c r="F107" s="1" t="s">
        <v>383</v>
      </c>
      <c r="G107" s="8" t="s">
        <v>148</v>
      </c>
      <c r="H107" s="8"/>
      <c r="I107" s="11"/>
      <c r="J107" s="11"/>
      <c r="K107" s="8" t="s">
        <v>133</v>
      </c>
      <c r="L107" s="15" t="n">
        <f aca="false">IF(J107="Complete",1,IF(J107="In Progress",0.5,0))</f>
        <v>0</v>
      </c>
      <c r="M107" s="8"/>
      <c r="N107" s="8"/>
    </row>
    <row r="108" customFormat="false" ht="15" hidden="false" customHeight="true" outlineLevel="0" collapsed="false">
      <c r="B108" s="1" t="n">
        <v>98</v>
      </c>
      <c r="C108" s="1" t="s">
        <v>384</v>
      </c>
      <c r="D108" s="21" t="s">
        <v>139</v>
      </c>
      <c r="E108" s="1" t="s">
        <v>385</v>
      </c>
      <c r="F108" s="1" t="s">
        <v>386</v>
      </c>
      <c r="G108" s="8" t="s">
        <v>169</v>
      </c>
      <c r="H108" s="8"/>
      <c r="I108" s="11"/>
      <c r="J108" s="11"/>
      <c r="K108" s="8" t="s">
        <v>133</v>
      </c>
      <c r="L108" s="15" t="n">
        <f aca="false">IF(J108="Complete",1,IF(J108="In Progress",0.5,0))</f>
        <v>0</v>
      </c>
      <c r="M108" s="8"/>
      <c r="N108" s="8"/>
    </row>
    <row r="109" customFormat="false" ht="15" hidden="false" customHeight="true" outlineLevel="0" collapsed="false">
      <c r="B109" s="1" t="n">
        <v>99</v>
      </c>
      <c r="C109" s="1" t="s">
        <v>384</v>
      </c>
      <c r="D109" s="21" t="s">
        <v>139</v>
      </c>
      <c r="E109" s="1" t="s">
        <v>387</v>
      </c>
      <c r="F109" s="1" t="s">
        <v>388</v>
      </c>
      <c r="G109" s="8" t="s">
        <v>148</v>
      </c>
      <c r="H109" s="8"/>
      <c r="I109" s="11"/>
      <c r="J109" s="11"/>
      <c r="K109" s="8" t="s">
        <v>133</v>
      </c>
      <c r="L109" s="15" t="n">
        <f aca="false">IF(J109="Complete",1,IF(J109="In Progress",0.5,0))</f>
        <v>0</v>
      </c>
      <c r="M109" s="8"/>
      <c r="N109" s="8"/>
    </row>
    <row r="110" customFormat="false" ht="15" hidden="false" customHeight="true" outlineLevel="0" collapsed="false">
      <c r="B110" s="1" t="n">
        <v>100</v>
      </c>
      <c r="C110" s="1" t="s">
        <v>384</v>
      </c>
      <c r="D110" s="21" t="s">
        <v>139</v>
      </c>
      <c r="E110" s="1" t="s">
        <v>389</v>
      </c>
      <c r="F110" s="1" t="s">
        <v>390</v>
      </c>
      <c r="G110" s="8" t="s">
        <v>149</v>
      </c>
      <c r="H110" s="8"/>
      <c r="I110" s="11"/>
      <c r="J110" s="11"/>
      <c r="K110" s="8" t="s">
        <v>133</v>
      </c>
      <c r="L110" s="15" t="n">
        <f aca="false">IF(J110="Complete",1,IF(J110="In Progress",0.5,0))</f>
        <v>0</v>
      </c>
      <c r="M110" s="8"/>
      <c r="N110" s="8"/>
    </row>
    <row r="111" customFormat="false" ht="15" hidden="false" customHeight="true" outlineLevel="0" collapsed="false">
      <c r="B111" s="1" t="n">
        <v>101</v>
      </c>
      <c r="C111" s="1" t="s">
        <v>391</v>
      </c>
      <c r="D111" s="21" t="s">
        <v>140</v>
      </c>
      <c r="E111" s="1" t="s">
        <v>392</v>
      </c>
      <c r="F111" s="1" t="s">
        <v>393</v>
      </c>
      <c r="G111" s="8" t="s">
        <v>148</v>
      </c>
      <c r="H111" s="8"/>
      <c r="I111" s="11"/>
      <c r="J111" s="11"/>
      <c r="K111" s="8" t="s">
        <v>133</v>
      </c>
      <c r="L111" s="15" t="n">
        <f aca="false">IF(J111="Complete",1,IF(J111="In Progress",0.5,0))</f>
        <v>0</v>
      </c>
      <c r="M111" s="8"/>
      <c r="N111" s="8"/>
    </row>
    <row r="112" customFormat="false" ht="15" hidden="false" customHeight="true" outlineLevel="0" collapsed="false">
      <c r="B112" s="1" t="n">
        <v>102</v>
      </c>
      <c r="C112" s="1" t="s">
        <v>391</v>
      </c>
      <c r="D112" s="21" t="s">
        <v>140</v>
      </c>
      <c r="E112" s="1" t="s">
        <v>394</v>
      </c>
      <c r="F112" s="1" t="s">
        <v>395</v>
      </c>
      <c r="G112" s="8" t="s">
        <v>169</v>
      </c>
      <c r="H112" s="8"/>
      <c r="I112" s="11"/>
      <c r="J112" s="11"/>
      <c r="K112" s="8" t="s">
        <v>133</v>
      </c>
      <c r="L112" s="15" t="n">
        <f aca="false">IF(J112="Complete",1,IF(J112="In Progress",0.5,0))</f>
        <v>0</v>
      </c>
      <c r="M112" s="8"/>
      <c r="N112" s="8"/>
    </row>
    <row r="113" customFormat="false" ht="15" hidden="false" customHeight="true" outlineLevel="0" collapsed="false">
      <c r="B113" s="1" t="n">
        <v>103</v>
      </c>
      <c r="C113" s="1" t="s">
        <v>391</v>
      </c>
      <c r="D113" s="21" t="s">
        <v>140</v>
      </c>
      <c r="E113" s="1" t="s">
        <v>396</v>
      </c>
      <c r="F113" s="1" t="s">
        <v>397</v>
      </c>
      <c r="G113" s="8" t="s">
        <v>148</v>
      </c>
      <c r="H113" s="8"/>
      <c r="I113" s="11"/>
      <c r="J113" s="11"/>
      <c r="K113" s="8" t="s">
        <v>133</v>
      </c>
      <c r="L113" s="15" t="n">
        <f aca="false">IF(J113="Complete",1,IF(J113="In Progress",0.5,0))</f>
        <v>0</v>
      </c>
      <c r="M113" s="8"/>
      <c r="N113" s="8"/>
    </row>
    <row r="114" customFormat="false" ht="15" hidden="false" customHeight="true" outlineLevel="0" collapsed="false">
      <c r="B114" s="1" t="n">
        <v>104</v>
      </c>
      <c r="C114" s="1" t="s">
        <v>391</v>
      </c>
      <c r="D114" s="21" t="s">
        <v>140</v>
      </c>
      <c r="E114" s="1" t="s">
        <v>398</v>
      </c>
      <c r="F114" s="1" t="s">
        <v>399</v>
      </c>
      <c r="G114" s="8" t="s">
        <v>149</v>
      </c>
      <c r="H114" s="8"/>
      <c r="I114" s="11"/>
      <c r="J114" s="11"/>
      <c r="K114" s="8" t="s">
        <v>133</v>
      </c>
      <c r="L114" s="15" t="n">
        <f aca="false">IF(J114="Complete",1,IF(J114="In Progress",0.5,0))</f>
        <v>0</v>
      </c>
      <c r="M114" s="8"/>
      <c r="N114" s="8"/>
    </row>
    <row r="115" customFormat="false" ht="15" hidden="false" customHeight="true" outlineLevel="0" collapsed="false">
      <c r="B115" s="1" t="n">
        <v>105</v>
      </c>
      <c r="C115" s="1" t="s">
        <v>400</v>
      </c>
      <c r="D115" s="21" t="s">
        <v>140</v>
      </c>
      <c r="E115" s="1" t="s">
        <v>401</v>
      </c>
      <c r="F115" s="1" t="s">
        <v>402</v>
      </c>
      <c r="G115" s="8" t="s">
        <v>169</v>
      </c>
      <c r="H115" s="8"/>
      <c r="I115" s="11"/>
      <c r="J115" s="11"/>
      <c r="K115" s="8" t="s">
        <v>133</v>
      </c>
      <c r="L115" s="15" t="n">
        <f aca="false">IF(J115="Complete",1,IF(J115="In Progress",0.5,0))</f>
        <v>0</v>
      </c>
      <c r="M115" s="8"/>
      <c r="N115" s="8"/>
    </row>
    <row r="116" customFormat="false" ht="15" hidden="false" customHeight="true" outlineLevel="0" collapsed="false">
      <c r="B116" s="1" t="n">
        <v>106</v>
      </c>
      <c r="C116" s="1" t="s">
        <v>400</v>
      </c>
      <c r="D116" s="21" t="s">
        <v>140</v>
      </c>
      <c r="E116" s="1" t="s">
        <v>403</v>
      </c>
      <c r="F116" s="1" t="s">
        <v>404</v>
      </c>
      <c r="G116" s="8" t="s">
        <v>169</v>
      </c>
      <c r="H116" s="8"/>
      <c r="I116" s="11"/>
      <c r="J116" s="11"/>
      <c r="K116" s="8" t="s">
        <v>133</v>
      </c>
      <c r="L116" s="15" t="n">
        <f aca="false">IF(J116="Complete",1,IF(J116="In Progress",0.5,0))</f>
        <v>0</v>
      </c>
      <c r="M116" s="8"/>
      <c r="N116" s="8"/>
    </row>
    <row r="117" customFormat="false" ht="15" hidden="false" customHeight="true" outlineLevel="0" collapsed="false">
      <c r="B117" s="1" t="n">
        <v>107</v>
      </c>
      <c r="C117" s="1" t="s">
        <v>400</v>
      </c>
      <c r="D117" s="21" t="s">
        <v>140</v>
      </c>
      <c r="E117" s="1" t="s">
        <v>405</v>
      </c>
      <c r="F117" s="1" t="s">
        <v>406</v>
      </c>
      <c r="G117" s="8" t="s">
        <v>169</v>
      </c>
      <c r="H117" s="8"/>
      <c r="I117" s="11"/>
      <c r="J117" s="11"/>
      <c r="K117" s="8" t="s">
        <v>133</v>
      </c>
      <c r="L117" s="15" t="n">
        <f aca="false">IF(J117="Complete",1,IF(J117="In Progress",0.5,0))</f>
        <v>0</v>
      </c>
      <c r="M117" s="8"/>
      <c r="N117" s="8"/>
    </row>
    <row r="118" customFormat="false" ht="15" hidden="false" customHeight="true" outlineLevel="0" collapsed="false">
      <c r="B118" s="1" t="n">
        <v>108</v>
      </c>
      <c r="C118" s="1" t="s">
        <v>400</v>
      </c>
      <c r="D118" s="21" t="s">
        <v>140</v>
      </c>
      <c r="E118" s="1" t="s">
        <v>407</v>
      </c>
      <c r="F118" s="1" t="s">
        <v>408</v>
      </c>
      <c r="G118" s="8" t="s">
        <v>148</v>
      </c>
      <c r="H118" s="8"/>
      <c r="I118" s="11"/>
      <c r="J118" s="11"/>
      <c r="K118" s="8" t="s">
        <v>133</v>
      </c>
      <c r="L118" s="15" t="n">
        <f aca="false">IF(J118="Complete",1,IF(J118="In Progress",0.5,0))</f>
        <v>0</v>
      </c>
      <c r="M118" s="8"/>
      <c r="N118" s="8"/>
    </row>
    <row r="119" customFormat="false" ht="15" hidden="false" customHeight="true" outlineLevel="0" collapsed="false">
      <c r="B119" s="1" t="n">
        <v>109</v>
      </c>
      <c r="C119" s="1" t="s">
        <v>409</v>
      </c>
      <c r="D119" s="21" t="s">
        <v>140</v>
      </c>
      <c r="E119" s="1" t="s">
        <v>410</v>
      </c>
      <c r="F119" s="1" t="s">
        <v>411</v>
      </c>
      <c r="G119" s="8" t="s">
        <v>148</v>
      </c>
      <c r="H119" s="8"/>
      <c r="I119" s="11"/>
      <c r="J119" s="11"/>
      <c r="K119" s="8" t="s">
        <v>133</v>
      </c>
      <c r="L119" s="15" t="n">
        <f aca="false">IF(J119="Complete",1,IF(J119="In Progress",0.5,0))</f>
        <v>0</v>
      </c>
      <c r="M119" s="8"/>
      <c r="N119" s="8"/>
    </row>
    <row r="120" customFormat="false" ht="15" hidden="false" customHeight="true" outlineLevel="0" collapsed="false">
      <c r="B120" s="1" t="n">
        <v>110</v>
      </c>
      <c r="C120" s="1" t="s">
        <v>409</v>
      </c>
      <c r="D120" s="21" t="s">
        <v>140</v>
      </c>
      <c r="E120" s="1" t="s">
        <v>412</v>
      </c>
      <c r="F120" s="1" t="s">
        <v>413</v>
      </c>
      <c r="G120" s="8" t="s">
        <v>149</v>
      </c>
      <c r="H120" s="8"/>
      <c r="I120" s="11"/>
      <c r="J120" s="11"/>
      <c r="K120" s="8" t="s">
        <v>133</v>
      </c>
      <c r="L120" s="15" t="n">
        <f aca="false">IF(J120="Complete",1,IF(J120="In Progress",0.5,0))</f>
        <v>0</v>
      </c>
      <c r="M120" s="8"/>
      <c r="N120" s="8"/>
    </row>
    <row r="121" customFormat="false" ht="15" hidden="false" customHeight="true" outlineLevel="0" collapsed="false">
      <c r="B121" s="1" t="n">
        <v>111</v>
      </c>
      <c r="C121" s="1" t="s">
        <v>409</v>
      </c>
      <c r="D121" s="21" t="s">
        <v>140</v>
      </c>
      <c r="E121" s="1" t="s">
        <v>414</v>
      </c>
      <c r="F121" s="1" t="s">
        <v>415</v>
      </c>
      <c r="G121" s="8" t="s">
        <v>149</v>
      </c>
      <c r="H121" s="8"/>
      <c r="I121" s="11"/>
      <c r="J121" s="11"/>
      <c r="K121" s="8" t="s">
        <v>133</v>
      </c>
      <c r="L121" s="15" t="n">
        <f aca="false">IF(J121="Complete",1,IF(J121="In Progress",0.5,0))</f>
        <v>0</v>
      </c>
      <c r="M121" s="8"/>
      <c r="N121" s="8"/>
    </row>
    <row r="122" customFormat="false" ht="15" hidden="false" customHeight="true" outlineLevel="0" collapsed="false">
      <c r="B122" s="1" t="n">
        <v>112</v>
      </c>
      <c r="C122" s="1" t="s">
        <v>409</v>
      </c>
      <c r="D122" s="21" t="s">
        <v>140</v>
      </c>
      <c r="E122" s="1" t="s">
        <v>416</v>
      </c>
      <c r="F122" s="1" t="s">
        <v>417</v>
      </c>
      <c r="G122" s="8" t="s">
        <v>149</v>
      </c>
      <c r="H122" s="8"/>
      <c r="I122" s="11"/>
      <c r="J122" s="11"/>
      <c r="K122" s="8" t="s">
        <v>133</v>
      </c>
      <c r="L122" s="15" t="n">
        <f aca="false">IF(J122="Complete",1,IF(J122="In Progress",0.5,0))</f>
        <v>0</v>
      </c>
      <c r="M122" s="8"/>
      <c r="N122" s="8"/>
    </row>
    <row r="123" customFormat="false" ht="15" hidden="false" customHeight="true" outlineLevel="0" collapsed="false">
      <c r="B123" s="1" t="n">
        <v>113</v>
      </c>
      <c r="C123" s="1" t="s">
        <v>418</v>
      </c>
      <c r="D123" s="21" t="s">
        <v>141</v>
      </c>
      <c r="E123" s="1" t="s">
        <v>419</v>
      </c>
      <c r="F123" s="1" t="s">
        <v>420</v>
      </c>
      <c r="G123" s="8" t="s">
        <v>169</v>
      </c>
      <c r="H123" s="8"/>
      <c r="I123" s="11"/>
      <c r="J123" s="11"/>
      <c r="K123" s="8" t="s">
        <v>133</v>
      </c>
      <c r="L123" s="15" t="n">
        <f aca="false">IF(J123="Complete",1,IF(J123="In Progress",0.5,0))</f>
        <v>0</v>
      </c>
      <c r="M123" s="8"/>
      <c r="N123" s="8"/>
    </row>
    <row r="124" customFormat="false" ht="15" hidden="false" customHeight="true" outlineLevel="0" collapsed="false">
      <c r="B124" s="1" t="n">
        <v>114</v>
      </c>
      <c r="C124" s="1" t="s">
        <v>418</v>
      </c>
      <c r="D124" s="21" t="s">
        <v>141</v>
      </c>
      <c r="E124" s="1" t="s">
        <v>421</v>
      </c>
      <c r="F124" s="1" t="s">
        <v>422</v>
      </c>
      <c r="G124" s="8" t="s">
        <v>148</v>
      </c>
      <c r="H124" s="8"/>
      <c r="I124" s="11"/>
      <c r="J124" s="11"/>
      <c r="K124" s="8" t="s">
        <v>133</v>
      </c>
      <c r="L124" s="15" t="n">
        <f aca="false">IF(J124="Complete",1,IF(J124="In Progress",0.5,0))</f>
        <v>0</v>
      </c>
      <c r="M124" s="8"/>
      <c r="N124" s="8"/>
    </row>
    <row r="125" customFormat="false" ht="15" hidden="false" customHeight="true" outlineLevel="0" collapsed="false">
      <c r="B125" s="1" t="n">
        <v>115</v>
      </c>
      <c r="C125" s="1" t="s">
        <v>418</v>
      </c>
      <c r="D125" s="21" t="s">
        <v>141</v>
      </c>
      <c r="E125" s="1" t="s">
        <v>423</v>
      </c>
      <c r="F125" s="1" t="s">
        <v>424</v>
      </c>
      <c r="G125" s="8" t="s">
        <v>148</v>
      </c>
      <c r="H125" s="8"/>
      <c r="I125" s="11"/>
      <c r="J125" s="11"/>
      <c r="K125" s="8" t="s">
        <v>133</v>
      </c>
      <c r="L125" s="15" t="n">
        <f aca="false">IF(J125="Complete",1,IF(J125="In Progress",0.5,0))</f>
        <v>0</v>
      </c>
      <c r="M125" s="8"/>
      <c r="N125" s="8"/>
    </row>
    <row r="126" customFormat="false" ht="15" hidden="false" customHeight="true" outlineLevel="0" collapsed="false">
      <c r="B126" s="1" t="n">
        <v>116</v>
      </c>
      <c r="C126" s="1" t="s">
        <v>425</v>
      </c>
      <c r="D126" s="21" t="s">
        <v>141</v>
      </c>
      <c r="E126" s="1" t="s">
        <v>426</v>
      </c>
      <c r="F126" s="1" t="s">
        <v>427</v>
      </c>
      <c r="G126" s="8" t="s">
        <v>148</v>
      </c>
      <c r="H126" s="8"/>
      <c r="I126" s="11"/>
      <c r="J126" s="11"/>
      <c r="K126" s="8" t="s">
        <v>133</v>
      </c>
      <c r="L126" s="15" t="n">
        <f aca="false">IF(J126="Complete",1,IF(J126="In Progress",0.5,0))</f>
        <v>0</v>
      </c>
      <c r="M126" s="8"/>
      <c r="N126" s="8"/>
    </row>
    <row r="127" customFormat="false" ht="15" hidden="false" customHeight="true" outlineLevel="0" collapsed="false">
      <c r="B127" s="1" t="n">
        <v>117</v>
      </c>
      <c r="C127" s="1" t="s">
        <v>425</v>
      </c>
      <c r="D127" s="21" t="s">
        <v>141</v>
      </c>
      <c r="E127" s="1" t="s">
        <v>428</v>
      </c>
      <c r="F127" s="1" t="s">
        <v>429</v>
      </c>
      <c r="G127" s="8" t="s">
        <v>148</v>
      </c>
      <c r="H127" s="8"/>
      <c r="I127" s="11"/>
      <c r="J127" s="11"/>
      <c r="K127" s="8" t="s">
        <v>133</v>
      </c>
      <c r="L127" s="15" t="n">
        <f aca="false">IF(J127="Complete",1,IF(J127="In Progress",0.5,0))</f>
        <v>0</v>
      </c>
      <c r="M127" s="8"/>
      <c r="N127" s="8"/>
    </row>
    <row r="128" customFormat="false" ht="15" hidden="false" customHeight="true" outlineLevel="0" collapsed="false">
      <c r="B128" s="1" t="n">
        <v>118</v>
      </c>
      <c r="C128" s="1" t="s">
        <v>425</v>
      </c>
      <c r="D128" s="21" t="s">
        <v>141</v>
      </c>
      <c r="E128" s="1" t="s">
        <v>430</v>
      </c>
      <c r="F128" s="1" t="s">
        <v>431</v>
      </c>
      <c r="G128" s="8" t="s">
        <v>149</v>
      </c>
      <c r="H128" s="8"/>
      <c r="I128" s="11"/>
      <c r="J128" s="11"/>
      <c r="K128" s="8" t="s">
        <v>133</v>
      </c>
      <c r="L128" s="15" t="n">
        <f aca="false">IF(J128="Complete",1,IF(J128="In Progress",0.5,0))</f>
        <v>0</v>
      </c>
      <c r="M128" s="8"/>
      <c r="N128" s="8"/>
    </row>
    <row r="129" customFormat="false" ht="15" hidden="false" customHeight="true" outlineLevel="0" collapsed="false">
      <c r="B129" s="1" t="n">
        <v>119</v>
      </c>
      <c r="C129" s="1" t="s">
        <v>425</v>
      </c>
      <c r="D129" s="21" t="s">
        <v>141</v>
      </c>
      <c r="E129" s="1" t="s">
        <v>432</v>
      </c>
      <c r="F129" s="1" t="s">
        <v>433</v>
      </c>
      <c r="G129" s="8" t="s">
        <v>169</v>
      </c>
      <c r="H129" s="8"/>
      <c r="I129" s="11"/>
      <c r="J129" s="11"/>
      <c r="K129" s="8" t="s">
        <v>133</v>
      </c>
      <c r="L129" s="15" t="n">
        <f aca="false">IF(J129="Complete",1,IF(J129="In Progress",0.5,0))</f>
        <v>0</v>
      </c>
      <c r="M129" s="8"/>
      <c r="N129" s="8"/>
    </row>
    <row r="130" customFormat="false" ht="15" hidden="false" customHeight="true" outlineLevel="0" collapsed="false">
      <c r="B130" s="1" t="n">
        <v>120</v>
      </c>
      <c r="C130" s="1" t="s">
        <v>434</v>
      </c>
      <c r="D130" s="21" t="s">
        <v>141</v>
      </c>
      <c r="E130" s="1" t="s">
        <v>435</v>
      </c>
      <c r="F130" s="1" t="s">
        <v>436</v>
      </c>
      <c r="G130" s="8" t="s">
        <v>169</v>
      </c>
      <c r="H130" s="8"/>
      <c r="I130" s="11"/>
      <c r="J130" s="11"/>
      <c r="K130" s="8" t="s">
        <v>133</v>
      </c>
      <c r="L130" s="15" t="n">
        <f aca="false">IF(J130="Complete",1,IF(J130="In Progress",0.5,0))</f>
        <v>0</v>
      </c>
      <c r="M130" s="8"/>
      <c r="N130" s="8"/>
    </row>
    <row r="131" customFormat="false" ht="15" hidden="false" customHeight="true" outlineLevel="0" collapsed="false">
      <c r="B131" s="1" t="n">
        <v>121</v>
      </c>
      <c r="C131" s="1" t="s">
        <v>434</v>
      </c>
      <c r="D131" s="21" t="s">
        <v>141</v>
      </c>
      <c r="E131" s="1" t="s">
        <v>437</v>
      </c>
      <c r="F131" s="1" t="s">
        <v>438</v>
      </c>
      <c r="G131" s="8" t="s">
        <v>148</v>
      </c>
      <c r="H131" s="8"/>
      <c r="I131" s="11"/>
      <c r="J131" s="11"/>
      <c r="K131" s="8" t="s">
        <v>133</v>
      </c>
      <c r="L131" s="15" t="n">
        <f aca="false">IF(J131="Complete",1,IF(J131="In Progress",0.5,0))</f>
        <v>0</v>
      </c>
      <c r="M131" s="8"/>
      <c r="N131" s="8"/>
    </row>
    <row r="132" customFormat="false" ht="15" hidden="false" customHeight="true" outlineLevel="0" collapsed="false">
      <c r="B132" s="1" t="n">
        <v>122</v>
      </c>
      <c r="C132" s="1" t="s">
        <v>434</v>
      </c>
      <c r="D132" s="21" t="s">
        <v>141</v>
      </c>
      <c r="E132" s="1" t="s">
        <v>439</v>
      </c>
      <c r="F132" s="1" t="s">
        <v>306</v>
      </c>
      <c r="G132" s="8" t="s">
        <v>148</v>
      </c>
      <c r="H132" s="8"/>
      <c r="I132" s="11"/>
      <c r="J132" s="11"/>
      <c r="K132" s="8" t="s">
        <v>133</v>
      </c>
      <c r="L132" s="15" t="n">
        <f aca="false">IF(J132="Complete",1,IF(J132="In Progress",0.5,0))</f>
        <v>0</v>
      </c>
      <c r="M132" s="8"/>
      <c r="N132" s="8"/>
    </row>
    <row r="133" customFormat="false" ht="15" hidden="false" customHeight="true" outlineLevel="0" collapsed="false">
      <c r="B133" s="1" t="n">
        <v>123</v>
      </c>
      <c r="C133" s="1" t="s">
        <v>434</v>
      </c>
      <c r="D133" s="21" t="s">
        <v>141</v>
      </c>
      <c r="E133" s="1" t="s">
        <v>440</v>
      </c>
      <c r="F133" s="1" t="s">
        <v>441</v>
      </c>
      <c r="G133" s="8" t="s">
        <v>169</v>
      </c>
      <c r="H133" s="8"/>
      <c r="I133" s="11"/>
      <c r="J133" s="11"/>
      <c r="K133" s="8" t="s">
        <v>133</v>
      </c>
      <c r="L133" s="15" t="n">
        <f aca="false">IF(J133="Complete",1,IF(J133="In Progress",0.5,0))</f>
        <v>0</v>
      </c>
      <c r="M133" s="8"/>
      <c r="N133" s="8"/>
    </row>
    <row r="134" customFormat="false" ht="15" hidden="false" customHeight="true" outlineLevel="0" collapsed="false">
      <c r="B134" s="1" t="n">
        <v>124</v>
      </c>
      <c r="C134" s="1" t="s">
        <v>434</v>
      </c>
      <c r="D134" s="21" t="s">
        <v>141</v>
      </c>
      <c r="E134" s="1" t="s">
        <v>442</v>
      </c>
      <c r="F134" s="1" t="s">
        <v>443</v>
      </c>
      <c r="G134" s="8" t="s">
        <v>148</v>
      </c>
      <c r="H134" s="8"/>
      <c r="I134" s="11"/>
      <c r="J134" s="11"/>
      <c r="K134" s="8" t="s">
        <v>133</v>
      </c>
      <c r="L134" s="15" t="n">
        <f aca="false">IF(J134="Complete",1,IF(J134="In Progress",0.5,0))</f>
        <v>0</v>
      </c>
      <c r="M134" s="8"/>
      <c r="N134" s="8"/>
    </row>
    <row r="135" customFormat="false" ht="15" hidden="false" customHeight="true" outlineLevel="0" collapsed="false">
      <c r="B135" s="1" t="n">
        <v>125</v>
      </c>
      <c r="C135" s="1" t="s">
        <v>444</v>
      </c>
      <c r="D135" s="21" t="s">
        <v>141</v>
      </c>
      <c r="E135" s="1" t="s">
        <v>445</v>
      </c>
      <c r="F135" s="1" t="s">
        <v>446</v>
      </c>
      <c r="G135" s="8" t="s">
        <v>149</v>
      </c>
      <c r="H135" s="8"/>
      <c r="I135" s="11"/>
      <c r="J135" s="11"/>
      <c r="K135" s="8" t="s">
        <v>133</v>
      </c>
      <c r="L135" s="15" t="n">
        <f aca="false">IF(J135="Complete",1,IF(J135="In Progress",0.5,0))</f>
        <v>0</v>
      </c>
      <c r="M135" s="8"/>
      <c r="N135" s="8"/>
    </row>
    <row r="136" customFormat="false" ht="15" hidden="false" customHeight="true" outlineLevel="0" collapsed="false">
      <c r="B136" s="1" t="n">
        <v>126</v>
      </c>
      <c r="C136" s="1" t="s">
        <v>444</v>
      </c>
      <c r="D136" s="21" t="s">
        <v>141</v>
      </c>
      <c r="E136" s="1" t="s">
        <v>447</v>
      </c>
      <c r="F136" s="1" t="s">
        <v>448</v>
      </c>
      <c r="G136" s="8" t="s">
        <v>148</v>
      </c>
      <c r="H136" s="8"/>
      <c r="I136" s="11"/>
      <c r="J136" s="11"/>
      <c r="K136" s="8" t="s">
        <v>133</v>
      </c>
      <c r="L136" s="15" t="n">
        <f aca="false">IF(J136="Complete",1,IF(J136="In Progress",0.5,0))</f>
        <v>0</v>
      </c>
      <c r="M136" s="8"/>
      <c r="N136" s="8"/>
    </row>
    <row r="137" customFormat="false" ht="15" hidden="false" customHeight="true" outlineLevel="0" collapsed="false">
      <c r="B137" s="1" t="n">
        <v>127</v>
      </c>
      <c r="C137" s="1" t="s">
        <v>444</v>
      </c>
      <c r="D137" s="21" t="s">
        <v>141</v>
      </c>
      <c r="E137" s="1" t="s">
        <v>449</v>
      </c>
      <c r="F137" s="1" t="s">
        <v>450</v>
      </c>
      <c r="G137" s="8" t="s">
        <v>148</v>
      </c>
      <c r="H137" s="8"/>
      <c r="I137" s="11"/>
      <c r="J137" s="11"/>
      <c r="K137" s="8" t="s">
        <v>133</v>
      </c>
      <c r="L137" s="15" t="n">
        <f aca="false">IF(J137="Complete",1,IF(J137="In Progress",0.5,0))</f>
        <v>0</v>
      </c>
      <c r="M137" s="8"/>
      <c r="N137" s="8"/>
    </row>
    <row r="138" customFormat="false" ht="15" hidden="false" customHeight="true" outlineLevel="0" collapsed="false">
      <c r="B138" s="1" t="n">
        <v>128</v>
      </c>
      <c r="C138" s="1" t="s">
        <v>451</v>
      </c>
      <c r="D138" s="21" t="s">
        <v>142</v>
      </c>
      <c r="E138" s="1" t="s">
        <v>452</v>
      </c>
      <c r="F138" s="1" t="s">
        <v>453</v>
      </c>
      <c r="G138" s="8" t="s">
        <v>169</v>
      </c>
      <c r="H138" s="8"/>
      <c r="I138" s="11"/>
      <c r="J138" s="11"/>
      <c r="K138" s="8" t="s">
        <v>133</v>
      </c>
      <c r="L138" s="15" t="n">
        <f aca="false">IF(J138="Complete",1,IF(J138="In Progress",0.5,0))</f>
        <v>0</v>
      </c>
      <c r="M138" s="8"/>
      <c r="N138" s="8"/>
    </row>
    <row r="139" customFormat="false" ht="15" hidden="false" customHeight="true" outlineLevel="0" collapsed="false">
      <c r="B139" s="1" t="n">
        <v>129</v>
      </c>
      <c r="C139" s="1" t="s">
        <v>451</v>
      </c>
      <c r="D139" s="21" t="s">
        <v>142</v>
      </c>
      <c r="E139" s="1" t="s">
        <v>454</v>
      </c>
      <c r="F139" s="1" t="s">
        <v>455</v>
      </c>
      <c r="G139" s="8" t="s">
        <v>148</v>
      </c>
      <c r="H139" s="8"/>
      <c r="I139" s="11"/>
      <c r="J139" s="11"/>
      <c r="K139" s="8" t="s">
        <v>133</v>
      </c>
      <c r="L139" s="15" t="n">
        <f aca="false">IF(J139="Complete",1,IF(J139="In Progress",0.5,0))</f>
        <v>0</v>
      </c>
      <c r="M139" s="8"/>
      <c r="N139" s="8"/>
    </row>
    <row r="140" customFormat="false" ht="15" hidden="false" customHeight="true" outlineLevel="0" collapsed="false">
      <c r="B140" s="1" t="n">
        <v>130</v>
      </c>
      <c r="C140" s="1" t="s">
        <v>456</v>
      </c>
      <c r="D140" s="21" t="s">
        <v>142</v>
      </c>
      <c r="E140" s="1" t="s">
        <v>457</v>
      </c>
      <c r="F140" s="1" t="s">
        <v>458</v>
      </c>
      <c r="G140" s="8" t="s">
        <v>148</v>
      </c>
      <c r="H140" s="8"/>
      <c r="I140" s="11"/>
      <c r="J140" s="11"/>
      <c r="K140" s="8" t="s">
        <v>133</v>
      </c>
      <c r="L140" s="15" t="n">
        <f aca="false">IF(J140="Complete",1,IF(J140="In Progress",0.5,0))</f>
        <v>0</v>
      </c>
      <c r="M140" s="8"/>
      <c r="N140" s="8"/>
    </row>
    <row r="141" customFormat="false" ht="15" hidden="false" customHeight="true" outlineLevel="0" collapsed="false">
      <c r="B141" s="1" t="n">
        <v>131</v>
      </c>
      <c r="C141" s="1" t="s">
        <v>456</v>
      </c>
      <c r="D141" s="21" t="s">
        <v>142</v>
      </c>
      <c r="E141" s="1" t="s">
        <v>459</v>
      </c>
      <c r="F141" s="1" t="s">
        <v>460</v>
      </c>
      <c r="G141" s="8" t="s">
        <v>169</v>
      </c>
      <c r="H141" s="8"/>
      <c r="I141" s="11"/>
      <c r="J141" s="11"/>
      <c r="K141" s="8" t="s">
        <v>133</v>
      </c>
      <c r="L141" s="15" t="n">
        <f aca="false">IF(J141="Complete",1,IF(J141="In Progress",0.5,0))</f>
        <v>0</v>
      </c>
      <c r="M141" s="8"/>
      <c r="N141" s="8"/>
    </row>
    <row r="142" customFormat="false" ht="15" hidden="false" customHeight="true" outlineLevel="0" collapsed="false">
      <c r="B142" s="1" t="n">
        <v>132</v>
      </c>
      <c r="C142" s="1" t="s">
        <v>461</v>
      </c>
      <c r="D142" s="21" t="s">
        <v>142</v>
      </c>
      <c r="E142" s="1" t="s">
        <v>462</v>
      </c>
      <c r="F142" s="1" t="s">
        <v>463</v>
      </c>
      <c r="G142" s="8" t="s">
        <v>148</v>
      </c>
      <c r="H142" s="8"/>
      <c r="I142" s="11"/>
      <c r="J142" s="11"/>
      <c r="K142" s="8" t="s">
        <v>133</v>
      </c>
      <c r="L142" s="15" t="n">
        <f aca="false">IF(J142="Complete",1,IF(J142="In Progress",0.5,0))</f>
        <v>0</v>
      </c>
      <c r="M142" s="8"/>
      <c r="N142" s="8"/>
    </row>
    <row r="143" customFormat="false" ht="15" hidden="false" customHeight="true" outlineLevel="0" collapsed="false">
      <c r="B143" s="1" t="n">
        <v>133</v>
      </c>
      <c r="C143" s="1" t="s">
        <v>461</v>
      </c>
      <c r="D143" s="21" t="s">
        <v>142</v>
      </c>
      <c r="E143" s="1" t="s">
        <v>464</v>
      </c>
      <c r="F143" s="1" t="s">
        <v>465</v>
      </c>
      <c r="G143" s="8" t="s">
        <v>148</v>
      </c>
      <c r="H143" s="8"/>
      <c r="I143" s="11"/>
      <c r="J143" s="11"/>
      <c r="K143" s="8" t="s">
        <v>133</v>
      </c>
      <c r="L143" s="15" t="n">
        <f aca="false">IF(J143="Complete",1,IF(J143="In Progress",0.5,0))</f>
        <v>0</v>
      </c>
      <c r="M143" s="8"/>
      <c r="N143" s="8"/>
    </row>
    <row r="144" customFormat="false" ht="15" hidden="false" customHeight="true" outlineLevel="0" collapsed="false">
      <c r="B144" s="1" t="n">
        <v>134</v>
      </c>
      <c r="C144" s="1" t="s">
        <v>466</v>
      </c>
      <c r="D144" s="21" t="s">
        <v>142</v>
      </c>
      <c r="E144" s="1" t="s">
        <v>467</v>
      </c>
      <c r="F144" s="1" t="s">
        <v>468</v>
      </c>
      <c r="G144" s="8" t="s">
        <v>169</v>
      </c>
      <c r="H144" s="8"/>
      <c r="I144" s="11"/>
      <c r="J144" s="11"/>
      <c r="K144" s="8" t="s">
        <v>133</v>
      </c>
      <c r="L144" s="15" t="n">
        <f aca="false">IF(J144="Complete",1,IF(J144="In Progress",0.5,0))</f>
        <v>0</v>
      </c>
      <c r="M144" s="8"/>
      <c r="N144" s="8"/>
    </row>
    <row r="145" customFormat="false" ht="15" hidden="false" customHeight="true" outlineLevel="0" collapsed="false">
      <c r="B145" s="1" t="n">
        <v>135</v>
      </c>
      <c r="C145" s="1" t="s">
        <v>466</v>
      </c>
      <c r="D145" s="21" t="s">
        <v>142</v>
      </c>
      <c r="E145" s="1" t="s">
        <v>469</v>
      </c>
      <c r="F145" s="1" t="s">
        <v>470</v>
      </c>
      <c r="G145" s="8" t="s">
        <v>149</v>
      </c>
      <c r="H145" s="8"/>
      <c r="I145" s="11"/>
      <c r="J145" s="11"/>
      <c r="K145" s="8" t="s">
        <v>133</v>
      </c>
      <c r="L145" s="15" t="n">
        <f aca="false">IF(J145="Complete",1,IF(J145="In Progress",0.5,0))</f>
        <v>0</v>
      </c>
      <c r="M145" s="8"/>
      <c r="N145" s="8"/>
    </row>
    <row r="146" customFormat="false" ht="15" hidden="false" customHeight="true" outlineLevel="0" collapsed="false">
      <c r="B146" s="1" t="n">
        <v>136</v>
      </c>
      <c r="C146" s="1" t="s">
        <v>471</v>
      </c>
      <c r="D146" s="21" t="s">
        <v>143</v>
      </c>
      <c r="E146" s="1" t="s">
        <v>472</v>
      </c>
      <c r="F146" s="1" t="s">
        <v>473</v>
      </c>
      <c r="G146" s="8" t="s">
        <v>169</v>
      </c>
      <c r="H146" s="8"/>
      <c r="I146" s="11"/>
      <c r="J146" s="11"/>
      <c r="K146" s="8" t="s">
        <v>133</v>
      </c>
      <c r="L146" s="15" t="n">
        <f aca="false">IF(J146="Complete",1,IF(J146="In Progress",0.5,0))</f>
        <v>0</v>
      </c>
      <c r="M146" s="8"/>
      <c r="N146" s="8"/>
    </row>
    <row r="147" customFormat="false" ht="15" hidden="false" customHeight="true" outlineLevel="0" collapsed="false">
      <c r="B147" s="1" t="n">
        <v>137</v>
      </c>
      <c r="C147" s="1" t="s">
        <v>471</v>
      </c>
      <c r="D147" s="21" t="s">
        <v>143</v>
      </c>
      <c r="E147" s="1" t="s">
        <v>474</v>
      </c>
      <c r="F147" s="1" t="s">
        <v>475</v>
      </c>
      <c r="G147" s="8" t="s">
        <v>169</v>
      </c>
      <c r="H147" s="8"/>
      <c r="I147" s="11"/>
      <c r="J147" s="11"/>
      <c r="K147" s="8" t="s">
        <v>133</v>
      </c>
      <c r="L147" s="15" t="n">
        <f aca="false">IF(J147="Complete",1,IF(J147="In Progress",0.5,0))</f>
        <v>0</v>
      </c>
      <c r="M147" s="8"/>
      <c r="N147" s="8"/>
    </row>
    <row r="148" customFormat="false" ht="15" hidden="false" customHeight="true" outlineLevel="0" collapsed="false">
      <c r="B148" s="1" t="n">
        <v>138</v>
      </c>
      <c r="C148" s="1" t="s">
        <v>476</v>
      </c>
      <c r="D148" s="21" t="s">
        <v>143</v>
      </c>
      <c r="E148" s="1" t="s">
        <v>477</v>
      </c>
      <c r="F148" s="1" t="s">
        <v>478</v>
      </c>
      <c r="G148" s="8" t="s">
        <v>148</v>
      </c>
      <c r="H148" s="8"/>
      <c r="I148" s="11"/>
      <c r="J148" s="11"/>
      <c r="K148" s="8" t="s">
        <v>133</v>
      </c>
      <c r="L148" s="15" t="n">
        <f aca="false">IF(J148="Complete",1,IF(J148="In Progress",0.5,0))</f>
        <v>0</v>
      </c>
      <c r="M148" s="8"/>
      <c r="N148" s="8"/>
    </row>
    <row r="149" customFormat="false" ht="15" hidden="false" customHeight="true" outlineLevel="0" collapsed="false">
      <c r="B149" s="1" t="n">
        <v>139</v>
      </c>
      <c r="C149" s="1" t="s">
        <v>476</v>
      </c>
      <c r="D149" s="21" t="s">
        <v>143</v>
      </c>
      <c r="E149" s="1" t="s">
        <v>479</v>
      </c>
      <c r="F149" s="1" t="s">
        <v>480</v>
      </c>
      <c r="G149" s="8" t="s">
        <v>169</v>
      </c>
      <c r="H149" s="8"/>
      <c r="I149" s="11"/>
      <c r="J149" s="11"/>
      <c r="K149" s="8" t="s">
        <v>133</v>
      </c>
      <c r="L149" s="15" t="n">
        <f aca="false">IF(J149="Complete",1,IF(J149="In Progress",0.5,0))</f>
        <v>0</v>
      </c>
      <c r="M149" s="8"/>
      <c r="N149" s="8"/>
    </row>
    <row r="150" customFormat="false" ht="15" hidden="false" customHeight="true" outlineLevel="0" collapsed="false">
      <c r="B150" s="1" t="n">
        <v>140</v>
      </c>
      <c r="C150" s="1" t="s">
        <v>481</v>
      </c>
      <c r="D150" s="21" t="s">
        <v>143</v>
      </c>
      <c r="E150" s="1" t="s">
        <v>482</v>
      </c>
      <c r="F150" s="1" t="s">
        <v>483</v>
      </c>
      <c r="G150" s="8" t="s">
        <v>169</v>
      </c>
      <c r="H150" s="8"/>
      <c r="I150" s="11"/>
      <c r="J150" s="11"/>
      <c r="K150" s="8" t="s">
        <v>133</v>
      </c>
      <c r="L150" s="15" t="n">
        <f aca="false">IF(J150="Complete",1,IF(J150="In Progress",0.5,0))</f>
        <v>0</v>
      </c>
      <c r="M150" s="8"/>
      <c r="N150" s="8"/>
    </row>
  </sheetData>
  <mergeCells count="2">
    <mergeCell ref="B2:M2"/>
    <mergeCell ref="B4:M4"/>
  </mergeCells>
  <dataValidations count="4">
    <dataValidation allowBlank="true" errorStyle="stop" operator="between" showDropDown="false" showErrorMessage="false" showInputMessage="false" sqref="D11:D150" type="list">
      <formula1>"Financial DD,Legal &amp; Regulatory,Commercial DD,Operational DD,IT / Technology,HR / Organization,Tax DD,Environmental"</formula1>
      <formula2>0</formula2>
    </dataValidation>
    <dataValidation allowBlank="true" errorStyle="stop" operator="between" showDropDown="false" showErrorMessage="false" showInputMessage="false" sqref="G11:G150" type="list">
      <formula1>"Critical,High,Medium,Low"</formula1>
      <formula2>0</formula2>
    </dataValidation>
    <dataValidation allowBlank="true" errorStyle="stop" operator="between" showDropDown="false" showErrorMessage="false" showInputMessage="false" sqref="K11:K150" type="list">
      <formula1>"Not Started,In Progress,Complete,N/A"</formula1>
      <formula2>0</formula2>
    </dataValidation>
    <dataValidation allowBlank="true" errorStyle="stop" operator="between" showDropDown="false" showErrorMessage="false" showInputMessage="false" sqref="M11:M150" type="list">
      <formula1>"High,Medium,Low,None"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4" min="3" style="1" width="35"/>
    <col collapsed="false" customWidth="true" hidden="false" outlineLevel="0" max="5" min="5" style="1" width="30"/>
    <col collapsed="false" customWidth="true" hidden="false" outlineLevel="0" max="6" min="6" style="1" width="15"/>
  </cols>
  <sheetData>
    <row r="2" customFormat="false" ht="17.25" hidden="false" customHeight="true" outlineLevel="0" collapsed="false">
      <c r="B2" s="18" t="s">
        <v>484</v>
      </c>
      <c r="C2" s="18"/>
      <c r="D2" s="18"/>
      <c r="E2" s="18"/>
      <c r="F2" s="18"/>
      <c r="G2" s="18"/>
      <c r="H2" s="18"/>
      <c r="I2" s="18"/>
      <c r="J2" s="18"/>
    </row>
    <row r="4" customFormat="false" ht="15" hidden="false" customHeight="true" outlineLevel="0" collapsed="false">
      <c r="B4" s="7" t="s">
        <v>485</v>
      </c>
      <c r="C4" s="7"/>
      <c r="D4" s="7"/>
      <c r="E4" s="7"/>
      <c r="F4" s="7"/>
      <c r="G4" s="7"/>
      <c r="H4" s="7"/>
      <c r="I4" s="7"/>
      <c r="J4" s="7"/>
    </row>
    <row r="6" customFormat="false" ht="15" hidden="false" customHeight="true" outlineLevel="0" collapsed="false">
      <c r="B6" s="6" t="s">
        <v>486</v>
      </c>
    </row>
    <row r="7" customFormat="false" ht="15" hidden="false" customHeight="true" outlineLevel="0" collapsed="false">
      <c r="B7" s="1" t="s">
        <v>487</v>
      </c>
    </row>
    <row r="8" customFormat="false" ht="15" hidden="false" customHeight="true" outlineLevel="0" collapsed="false">
      <c r="B8" s="1" t="s">
        <v>488</v>
      </c>
    </row>
    <row r="9" customFormat="false" ht="15" hidden="false" customHeight="true" outlineLevel="0" collapsed="false">
      <c r="B9" s="1" t="s">
        <v>489</v>
      </c>
    </row>
    <row r="10" customFormat="false" ht="15" hidden="false" customHeight="true" outlineLevel="0" collapsed="false">
      <c r="B10" s="1" t="s">
        <v>490</v>
      </c>
    </row>
    <row r="11" customFormat="false" ht="15" hidden="false" customHeight="true" outlineLevel="0" collapsed="false">
      <c r="B11" s="1" t="s">
        <v>491</v>
      </c>
    </row>
    <row r="14" customFormat="false" ht="15" hidden="false" customHeight="true" outlineLevel="0" collapsed="false">
      <c r="B14" s="7" t="s">
        <v>492</v>
      </c>
      <c r="C14" s="7"/>
      <c r="D14" s="7"/>
      <c r="E14" s="7"/>
      <c r="F14" s="7"/>
      <c r="G14" s="7"/>
      <c r="H14" s="7"/>
      <c r="I14" s="7"/>
      <c r="J14" s="7"/>
    </row>
    <row r="15" customFormat="false" ht="15" hidden="false" customHeight="true" outlineLevel="0" collapsed="false">
      <c r="B15" s="17" t="s">
        <v>493</v>
      </c>
      <c r="C15" s="17" t="s">
        <v>494</v>
      </c>
      <c r="D15" s="17" t="s">
        <v>495</v>
      </c>
      <c r="E15" s="17" t="s">
        <v>496</v>
      </c>
      <c r="F15" s="17" t="s">
        <v>497</v>
      </c>
    </row>
    <row r="16" customFormat="false" ht="15" hidden="false" customHeight="true" outlineLevel="0" collapsed="false">
      <c r="B16" s="1" t="s">
        <v>498</v>
      </c>
      <c r="C16" s="8" t="s">
        <v>499</v>
      </c>
      <c r="D16" s="8" t="s">
        <v>500</v>
      </c>
      <c r="E16" s="8" t="s">
        <v>501</v>
      </c>
      <c r="F16" s="10" t="n">
        <v>-10</v>
      </c>
    </row>
    <row r="17" customFormat="false" ht="15" hidden="false" customHeight="true" outlineLevel="0" collapsed="false">
      <c r="B17" s="1" t="s">
        <v>502</v>
      </c>
      <c r="C17" s="8" t="s">
        <v>503</v>
      </c>
      <c r="D17" s="8" t="s">
        <v>504</v>
      </c>
      <c r="E17" s="8" t="s">
        <v>505</v>
      </c>
      <c r="F17" s="10" t="n">
        <v>20</v>
      </c>
    </row>
    <row r="18" customFormat="false" ht="15" hidden="false" customHeight="true" outlineLevel="0" collapsed="false">
      <c r="B18" s="1" t="s">
        <v>184</v>
      </c>
      <c r="C18" s="8" t="s">
        <v>506</v>
      </c>
      <c r="D18" s="8" t="s">
        <v>507</v>
      </c>
      <c r="E18" s="8" t="s">
        <v>508</v>
      </c>
      <c r="F18" s="10" t="n">
        <v>-5</v>
      </c>
    </row>
    <row r="19" customFormat="false" ht="15" hidden="false" customHeight="true" outlineLevel="0" collapsed="false">
      <c r="B19" s="1" t="s">
        <v>509</v>
      </c>
      <c r="C19" s="8" t="s">
        <v>510</v>
      </c>
      <c r="D19" s="8" t="s">
        <v>511</v>
      </c>
      <c r="E19" s="8" t="s">
        <v>512</v>
      </c>
      <c r="F19" s="10" t="n">
        <v>-3</v>
      </c>
    </row>
    <row r="20" customFormat="false" ht="15" hidden="false" customHeight="true" outlineLevel="0" collapsed="false">
      <c r="B20" s="1" t="s">
        <v>164</v>
      </c>
      <c r="C20" s="8" t="s">
        <v>513</v>
      </c>
      <c r="D20" s="8" t="s">
        <v>514</v>
      </c>
      <c r="E20" s="8" t="s">
        <v>515</v>
      </c>
      <c r="F20" s="10" t="n">
        <v>-15</v>
      </c>
    </row>
    <row r="21" customFormat="false" ht="15" hidden="false" customHeight="true" outlineLevel="0" collapsed="false">
      <c r="B21" s="8"/>
      <c r="C21" s="8"/>
      <c r="D21" s="8"/>
      <c r="E21" s="8"/>
      <c r="F21" s="10"/>
    </row>
    <row r="22" customFormat="false" ht="15" hidden="false" customHeight="true" outlineLevel="0" collapsed="false">
      <c r="B22" s="8"/>
      <c r="C22" s="8"/>
      <c r="D22" s="8"/>
      <c r="E22" s="8"/>
      <c r="F22" s="10"/>
    </row>
    <row r="23" customFormat="false" ht="15" hidden="false" customHeight="true" outlineLevel="0" collapsed="false">
      <c r="B23" s="8"/>
      <c r="C23" s="8"/>
      <c r="D23" s="8"/>
      <c r="E23" s="8"/>
      <c r="F23" s="10"/>
    </row>
    <row r="24" customFormat="false" ht="15" hidden="false" customHeight="true" outlineLevel="0" collapsed="false">
      <c r="B24" s="8"/>
      <c r="C24" s="8"/>
      <c r="D24" s="8"/>
      <c r="E24" s="8"/>
      <c r="F24" s="10"/>
    </row>
    <row r="25" customFormat="false" ht="15" hidden="false" customHeight="true" outlineLevel="0" collapsed="false">
      <c r="B25" s="8"/>
      <c r="C25" s="8"/>
      <c r="D25" s="8"/>
      <c r="E25" s="8"/>
      <c r="F25" s="10"/>
    </row>
    <row r="26" customFormat="false" ht="15" hidden="false" customHeight="true" outlineLevel="0" collapsed="false">
      <c r="B26" s="8"/>
      <c r="C26" s="8"/>
      <c r="D26" s="8"/>
      <c r="E26" s="8"/>
      <c r="F26" s="10"/>
    </row>
    <row r="27" customFormat="false" ht="15" hidden="false" customHeight="true" outlineLevel="0" collapsed="false">
      <c r="B27" s="8"/>
      <c r="C27" s="8"/>
      <c r="D27" s="8"/>
      <c r="E27" s="8"/>
      <c r="F27" s="10"/>
    </row>
    <row r="28" customFormat="false" ht="15" hidden="false" customHeight="true" outlineLevel="0" collapsed="false">
      <c r="B28" s="8"/>
      <c r="C28" s="8"/>
      <c r="D28" s="8"/>
      <c r="E28" s="8"/>
      <c r="F28" s="10"/>
    </row>
    <row r="29" customFormat="false" ht="15" hidden="false" customHeight="true" outlineLevel="0" collapsed="false">
      <c r="B29" s="8"/>
      <c r="C29" s="8"/>
      <c r="D29" s="8"/>
      <c r="E29" s="8"/>
      <c r="F29" s="10"/>
    </row>
    <row r="30" customFormat="false" ht="15" hidden="false" customHeight="true" outlineLevel="0" collapsed="false">
      <c r="B30" s="8"/>
      <c r="C30" s="8"/>
      <c r="D30" s="8"/>
      <c r="E30" s="8"/>
      <c r="F30" s="10"/>
    </row>
    <row r="31" customFormat="false" ht="15" hidden="false" customHeight="true" outlineLevel="0" collapsed="false">
      <c r="B31" s="8"/>
      <c r="C31" s="8"/>
      <c r="D31" s="8"/>
      <c r="E31" s="8"/>
      <c r="F31" s="10"/>
    </row>
    <row r="32" customFormat="false" ht="15" hidden="false" customHeight="true" outlineLevel="0" collapsed="false">
      <c r="B32" s="8"/>
      <c r="C32" s="8"/>
      <c r="D32" s="8"/>
      <c r="E32" s="8"/>
      <c r="F32" s="10"/>
    </row>
    <row r="33" customFormat="false" ht="15" hidden="false" customHeight="true" outlineLevel="0" collapsed="false">
      <c r="B33" s="8"/>
      <c r="C33" s="8"/>
      <c r="D33" s="8"/>
      <c r="E33" s="8"/>
      <c r="F33" s="10"/>
    </row>
    <row r="34" customFormat="false" ht="15" hidden="false" customHeight="true" outlineLevel="0" collapsed="false">
      <c r="B34" s="8"/>
      <c r="C34" s="8"/>
      <c r="D34" s="8"/>
      <c r="E34" s="8"/>
      <c r="F34" s="10"/>
    </row>
    <row r="35" customFormat="false" ht="15" hidden="false" customHeight="true" outlineLevel="0" collapsed="false">
      <c r="B35" s="8"/>
      <c r="C35" s="8"/>
      <c r="D35" s="8"/>
      <c r="E35" s="8"/>
      <c r="F35" s="10"/>
    </row>
    <row r="36" customFormat="false" ht="15" hidden="false" customHeight="true" outlineLevel="0" collapsed="false">
      <c r="B36" s="8"/>
      <c r="C36" s="8"/>
      <c r="D36" s="8"/>
      <c r="E36" s="8"/>
      <c r="F36" s="10"/>
    </row>
    <row r="37" customFormat="false" ht="15" hidden="false" customHeight="true" outlineLevel="0" collapsed="false">
      <c r="B37" s="8"/>
      <c r="C37" s="8"/>
      <c r="D37" s="8"/>
      <c r="E37" s="8"/>
      <c r="F37" s="10"/>
    </row>
    <row r="38" customFormat="false" ht="15" hidden="false" customHeight="true" outlineLevel="0" collapsed="false">
      <c r="B38" s="8"/>
      <c r="C38" s="8"/>
      <c r="D38" s="8"/>
      <c r="E38" s="8"/>
      <c r="F38" s="10"/>
    </row>
    <row r="39" customFormat="false" ht="15" hidden="false" customHeight="true" outlineLevel="0" collapsed="false">
      <c r="B39" s="8"/>
      <c r="C39" s="8"/>
      <c r="D39" s="8"/>
      <c r="E39" s="8"/>
      <c r="F39" s="10"/>
    </row>
    <row r="40" customFormat="false" ht="15" hidden="false" customHeight="true" outlineLevel="0" collapsed="false">
      <c r="B40" s="8"/>
      <c r="C40" s="8"/>
      <c r="D40" s="8"/>
      <c r="E40" s="8"/>
      <c r="F40" s="10"/>
    </row>
    <row r="43" customFormat="false" ht="15" hidden="false" customHeight="true" outlineLevel="0" collapsed="false">
      <c r="B43" s="6" t="s">
        <v>516</v>
      </c>
      <c r="C43" s="22" t="n">
        <f aca="false">SUM(F16:F40)</f>
        <v>-13</v>
      </c>
    </row>
    <row r="45" customFormat="false" ht="15" hidden="false" customHeight="true" outlineLevel="0" collapsed="false">
      <c r="B45" s="7" t="s">
        <v>517</v>
      </c>
      <c r="C45" s="7"/>
      <c r="D45" s="7"/>
      <c r="E45" s="7"/>
      <c r="F45" s="7"/>
      <c r="G45" s="7"/>
      <c r="H45" s="7"/>
      <c r="I45" s="7"/>
      <c r="J45" s="7"/>
    </row>
    <row r="46" customFormat="false" ht="15" hidden="false" customHeight="true" outlineLevel="0" collapsed="false">
      <c r="B46" s="1" t="s">
        <v>518</v>
      </c>
      <c r="C46" s="23" t="s">
        <v>519</v>
      </c>
    </row>
    <row r="47" customFormat="false" ht="15" hidden="false" customHeight="true" outlineLevel="0" collapsed="false">
      <c r="B47" s="1" t="s">
        <v>520</v>
      </c>
      <c r="C47" s="23" t="s">
        <v>521</v>
      </c>
    </row>
    <row r="49" customFormat="false" ht="15" hidden="false" customHeight="true" outlineLevel="0" collapsed="false">
      <c r="B49" s="6" t="s">
        <v>522</v>
      </c>
    </row>
    <row r="50" customFormat="false" ht="15" hidden="false" customHeight="true" outlineLevel="0" collapsed="false">
      <c r="B50" s="1" t="s">
        <v>523</v>
      </c>
    </row>
    <row r="51" customFormat="false" ht="15" hidden="false" customHeight="true" outlineLevel="0" collapsed="false">
      <c r="B51" s="1" t="s">
        <v>524</v>
      </c>
    </row>
    <row r="52" customFormat="false" ht="15" hidden="false" customHeight="true" outlineLevel="0" collapsed="false">
      <c r="B52" s="1" t="s">
        <v>525</v>
      </c>
    </row>
    <row r="53" customFormat="false" ht="15" hidden="false" customHeight="true" outlineLevel="0" collapsed="false">
      <c r="B53" s="1" t="s">
        <v>526</v>
      </c>
    </row>
    <row r="54" customFormat="false" ht="15" hidden="false" customHeight="true" outlineLevel="0" collapsed="false">
      <c r="B54" s="1" t="s">
        <v>527</v>
      </c>
    </row>
    <row r="55" customFormat="false" ht="15" hidden="false" customHeight="true" outlineLevel="0" collapsed="false">
      <c r="B55" s="1" t="s">
        <v>528</v>
      </c>
    </row>
    <row r="56" customFormat="false" ht="15" hidden="false" customHeight="true" outlineLevel="0" collapsed="false">
      <c r="B56" s="1" t="s">
        <v>529</v>
      </c>
    </row>
  </sheetData>
  <mergeCells count="4">
    <mergeCell ref="B2:J2"/>
    <mergeCell ref="B4:J4"/>
    <mergeCell ref="B14:J14"/>
    <mergeCell ref="B45:J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35"/>
    <col collapsed="false" customWidth="true" hidden="false" outlineLevel="0" max="7" min="6" style="1" width="12"/>
    <col collapsed="false" customWidth="true" hidden="false" outlineLevel="0" max="9" min="8" style="1" width="15"/>
    <col collapsed="false" customWidth="true" hidden="false" outlineLevel="0" max="11" min="10" style="1" width="30"/>
  </cols>
  <sheetData>
    <row r="2" customFormat="false" ht="17.25" hidden="false" customHeight="true" outlineLevel="0" collapsed="false">
      <c r="B2" s="24" t="s">
        <v>530</v>
      </c>
      <c r="C2" s="24"/>
      <c r="D2" s="24"/>
      <c r="E2" s="24"/>
      <c r="F2" s="24"/>
      <c r="G2" s="24"/>
      <c r="H2" s="24"/>
      <c r="I2" s="24"/>
      <c r="J2" s="24"/>
    </row>
    <row r="4" customFormat="false" ht="15" hidden="false" customHeight="true" outlineLevel="0" collapsed="false">
      <c r="B4" s="25" t="s">
        <v>531</v>
      </c>
      <c r="C4" s="25"/>
      <c r="D4" s="25"/>
      <c r="E4" s="25"/>
      <c r="F4" s="25"/>
      <c r="G4" s="25"/>
      <c r="H4" s="25"/>
      <c r="I4" s="25"/>
      <c r="J4" s="25"/>
    </row>
    <row r="8" customFormat="false" ht="27.75" hidden="false" customHeight="true" outlineLevel="0" collapsed="false">
      <c r="B8" s="26" t="s">
        <v>532</v>
      </c>
      <c r="C8" s="26" t="s">
        <v>129</v>
      </c>
      <c r="D8" s="26" t="s">
        <v>533</v>
      </c>
      <c r="E8" s="26" t="s">
        <v>534</v>
      </c>
      <c r="F8" s="26" t="s">
        <v>535</v>
      </c>
      <c r="G8" s="26" t="s">
        <v>536</v>
      </c>
      <c r="H8" s="26" t="s">
        <v>537</v>
      </c>
      <c r="I8" s="26" t="s">
        <v>538</v>
      </c>
      <c r="J8" s="26" t="s">
        <v>539</v>
      </c>
      <c r="K8" s="26" t="s">
        <v>165</v>
      </c>
    </row>
    <row r="10" customFormat="false" ht="15" hidden="false" customHeight="true" outlineLevel="0" collapsed="false">
      <c r="B10" s="27"/>
      <c r="C10" s="27"/>
      <c r="D10" s="27"/>
      <c r="E10" s="27"/>
      <c r="F10" s="28"/>
      <c r="G10" s="28"/>
      <c r="H10" s="27"/>
      <c r="I10" s="27"/>
      <c r="J10" s="29"/>
      <c r="K10" s="29"/>
    </row>
    <row r="11" customFormat="false" ht="15" hidden="false" customHeight="true" outlineLevel="0" collapsed="false">
      <c r="B11" s="27"/>
      <c r="C11" s="27"/>
      <c r="D11" s="27"/>
      <c r="E11" s="27"/>
      <c r="F11" s="28"/>
      <c r="G11" s="28"/>
      <c r="H11" s="27"/>
      <c r="I11" s="27"/>
      <c r="J11" s="29"/>
      <c r="K11" s="29"/>
    </row>
    <row r="12" customFormat="false" ht="15" hidden="false" customHeight="true" outlineLevel="0" collapsed="false">
      <c r="B12" s="27"/>
      <c r="C12" s="27"/>
      <c r="D12" s="27"/>
      <c r="E12" s="27"/>
      <c r="F12" s="28"/>
      <c r="G12" s="28"/>
      <c r="H12" s="27"/>
      <c r="I12" s="27"/>
      <c r="J12" s="29"/>
      <c r="K12" s="29"/>
    </row>
    <row r="13" customFormat="false" ht="15" hidden="false" customHeight="true" outlineLevel="0" collapsed="false">
      <c r="B13" s="27"/>
      <c r="C13" s="27"/>
      <c r="D13" s="27"/>
      <c r="E13" s="27"/>
      <c r="F13" s="28"/>
      <c r="G13" s="28"/>
      <c r="H13" s="27"/>
      <c r="I13" s="27"/>
      <c r="J13" s="29"/>
      <c r="K13" s="29"/>
    </row>
    <row r="14" customFormat="false" ht="15" hidden="false" customHeight="true" outlineLevel="0" collapsed="false">
      <c r="B14" s="27"/>
      <c r="C14" s="27"/>
      <c r="D14" s="27"/>
      <c r="E14" s="27"/>
      <c r="F14" s="28"/>
      <c r="G14" s="28"/>
      <c r="H14" s="27"/>
      <c r="I14" s="27"/>
      <c r="J14" s="29"/>
      <c r="K14" s="29"/>
    </row>
    <row r="15" customFormat="false" ht="15" hidden="false" customHeight="true" outlineLevel="0" collapsed="false">
      <c r="B15" s="27"/>
      <c r="C15" s="27"/>
      <c r="D15" s="27"/>
      <c r="E15" s="27"/>
      <c r="F15" s="28"/>
      <c r="G15" s="28"/>
      <c r="H15" s="27"/>
      <c r="I15" s="27"/>
      <c r="J15" s="29"/>
      <c r="K15" s="29"/>
    </row>
    <row r="16" customFormat="false" ht="15" hidden="false" customHeight="true" outlineLevel="0" collapsed="false">
      <c r="B16" s="27"/>
      <c r="C16" s="27"/>
      <c r="D16" s="27"/>
      <c r="E16" s="27"/>
      <c r="F16" s="28"/>
      <c r="G16" s="28"/>
      <c r="H16" s="27"/>
      <c r="I16" s="27"/>
      <c r="J16" s="29"/>
      <c r="K16" s="29"/>
    </row>
    <row r="17" customFormat="false" ht="15" hidden="false" customHeight="true" outlineLevel="0" collapsed="false">
      <c r="B17" s="27"/>
      <c r="C17" s="27"/>
      <c r="D17" s="27"/>
      <c r="E17" s="27"/>
      <c r="F17" s="28"/>
      <c r="G17" s="28"/>
      <c r="H17" s="27"/>
      <c r="I17" s="27"/>
      <c r="J17" s="29"/>
      <c r="K17" s="29"/>
    </row>
    <row r="18" customFormat="false" ht="15" hidden="false" customHeight="true" outlineLevel="0" collapsed="false">
      <c r="B18" s="27"/>
      <c r="C18" s="27"/>
      <c r="D18" s="27"/>
      <c r="E18" s="27"/>
      <c r="F18" s="28"/>
      <c r="G18" s="28"/>
      <c r="H18" s="27"/>
      <c r="I18" s="27"/>
      <c r="J18" s="29"/>
      <c r="K18" s="29"/>
    </row>
    <row r="19" customFormat="false" ht="15" hidden="false" customHeight="true" outlineLevel="0" collapsed="false">
      <c r="B19" s="27"/>
      <c r="C19" s="27"/>
      <c r="D19" s="27"/>
      <c r="E19" s="27"/>
      <c r="F19" s="28"/>
      <c r="G19" s="28"/>
      <c r="H19" s="27"/>
      <c r="I19" s="27"/>
      <c r="J19" s="29"/>
      <c r="K19" s="29"/>
    </row>
    <row r="20" customFormat="false" ht="15" hidden="false" customHeight="true" outlineLevel="0" collapsed="false">
      <c r="B20" s="27"/>
      <c r="C20" s="27"/>
      <c r="D20" s="27"/>
      <c r="E20" s="27"/>
      <c r="F20" s="28"/>
      <c r="G20" s="28"/>
      <c r="H20" s="27"/>
      <c r="I20" s="27"/>
      <c r="J20" s="29"/>
      <c r="K20" s="29"/>
    </row>
    <row r="21" customFormat="false" ht="15" hidden="false" customHeight="true" outlineLevel="0" collapsed="false">
      <c r="B21" s="27"/>
      <c r="C21" s="27"/>
      <c r="D21" s="27"/>
      <c r="E21" s="27"/>
      <c r="F21" s="28"/>
      <c r="G21" s="28"/>
      <c r="H21" s="27"/>
      <c r="I21" s="27"/>
      <c r="J21" s="29"/>
      <c r="K21" s="29"/>
    </row>
    <row r="22" customFormat="false" ht="15" hidden="false" customHeight="true" outlineLevel="0" collapsed="false">
      <c r="B22" s="27"/>
      <c r="C22" s="27"/>
      <c r="D22" s="27"/>
      <c r="E22" s="27"/>
      <c r="F22" s="28"/>
      <c r="G22" s="28"/>
      <c r="H22" s="27"/>
      <c r="I22" s="27"/>
      <c r="J22" s="29"/>
      <c r="K22" s="29"/>
    </row>
    <row r="23" customFormat="false" ht="15" hidden="false" customHeight="true" outlineLevel="0" collapsed="false">
      <c r="B23" s="27"/>
      <c r="C23" s="27"/>
      <c r="D23" s="27"/>
      <c r="E23" s="27"/>
      <c r="F23" s="28"/>
      <c r="G23" s="28"/>
      <c r="H23" s="27"/>
      <c r="I23" s="27"/>
      <c r="J23" s="29"/>
      <c r="K23" s="29"/>
    </row>
    <row r="24" customFormat="false" ht="15" hidden="false" customHeight="true" outlineLevel="0" collapsed="false">
      <c r="B24" s="27"/>
      <c r="C24" s="27"/>
      <c r="D24" s="27"/>
      <c r="E24" s="27"/>
      <c r="F24" s="28"/>
      <c r="G24" s="28"/>
      <c r="H24" s="27"/>
      <c r="I24" s="27"/>
      <c r="J24" s="29"/>
      <c r="K24" s="29"/>
    </row>
    <row r="25" customFormat="false" ht="15" hidden="false" customHeight="true" outlineLevel="0" collapsed="false">
      <c r="B25" s="27"/>
      <c r="C25" s="27"/>
      <c r="D25" s="27"/>
      <c r="E25" s="27"/>
      <c r="F25" s="28"/>
      <c r="G25" s="28"/>
      <c r="H25" s="27"/>
      <c r="I25" s="27"/>
      <c r="J25" s="29"/>
      <c r="K25" s="29"/>
    </row>
    <row r="26" customFormat="false" ht="15" hidden="false" customHeight="true" outlineLevel="0" collapsed="false">
      <c r="B26" s="27"/>
      <c r="C26" s="27"/>
      <c r="D26" s="27"/>
      <c r="E26" s="27"/>
      <c r="F26" s="28"/>
      <c r="G26" s="28"/>
      <c r="H26" s="27"/>
      <c r="I26" s="27"/>
      <c r="J26" s="29"/>
      <c r="K26" s="29"/>
    </row>
    <row r="27" customFormat="false" ht="15" hidden="false" customHeight="true" outlineLevel="0" collapsed="false">
      <c r="B27" s="27"/>
      <c r="C27" s="27"/>
      <c r="D27" s="27"/>
      <c r="E27" s="27"/>
      <c r="F27" s="28"/>
      <c r="G27" s="28"/>
      <c r="H27" s="27"/>
      <c r="I27" s="27"/>
      <c r="J27" s="29"/>
      <c r="K27" s="29"/>
    </row>
    <row r="28" customFormat="false" ht="15" hidden="false" customHeight="true" outlineLevel="0" collapsed="false">
      <c r="B28" s="27"/>
      <c r="C28" s="27"/>
      <c r="D28" s="27"/>
      <c r="E28" s="27"/>
      <c r="F28" s="28"/>
      <c r="G28" s="28"/>
      <c r="H28" s="27"/>
      <c r="I28" s="27"/>
      <c r="J28" s="29"/>
      <c r="K28" s="29"/>
    </row>
    <row r="29" customFormat="false" ht="15" hidden="false" customHeight="true" outlineLevel="0" collapsed="false">
      <c r="B29" s="27"/>
      <c r="C29" s="27"/>
      <c r="D29" s="27"/>
      <c r="E29" s="27"/>
      <c r="F29" s="28"/>
      <c r="G29" s="28"/>
      <c r="H29" s="27"/>
      <c r="I29" s="27"/>
      <c r="J29" s="29"/>
      <c r="K29" s="29"/>
    </row>
    <row r="30" customFormat="false" ht="15" hidden="false" customHeight="true" outlineLevel="0" collapsed="false">
      <c r="B30" s="27"/>
      <c r="C30" s="27"/>
      <c r="D30" s="27"/>
      <c r="E30" s="27"/>
      <c r="F30" s="28"/>
      <c r="G30" s="28"/>
      <c r="H30" s="27"/>
      <c r="I30" s="27"/>
      <c r="J30" s="29"/>
      <c r="K30" s="29"/>
    </row>
    <row r="31" customFormat="false" ht="15" hidden="false" customHeight="true" outlineLevel="0" collapsed="false">
      <c r="B31" s="27"/>
      <c r="C31" s="27"/>
      <c r="D31" s="27"/>
      <c r="E31" s="27"/>
      <c r="F31" s="28"/>
      <c r="G31" s="28"/>
      <c r="H31" s="27"/>
      <c r="I31" s="27"/>
      <c r="J31" s="29"/>
      <c r="K31" s="29"/>
    </row>
    <row r="32" customFormat="false" ht="15" hidden="false" customHeight="true" outlineLevel="0" collapsed="false">
      <c r="B32" s="27"/>
      <c r="C32" s="27"/>
      <c r="D32" s="27"/>
      <c r="E32" s="27"/>
      <c r="F32" s="28"/>
      <c r="G32" s="28"/>
      <c r="H32" s="27"/>
      <c r="I32" s="27"/>
      <c r="J32" s="29"/>
      <c r="K32" s="29"/>
    </row>
    <row r="33" customFormat="false" ht="15" hidden="false" customHeight="true" outlineLevel="0" collapsed="false">
      <c r="B33" s="27"/>
      <c r="C33" s="27"/>
      <c r="D33" s="27"/>
      <c r="E33" s="27"/>
      <c r="F33" s="28"/>
      <c r="G33" s="28"/>
      <c r="H33" s="27"/>
      <c r="I33" s="27"/>
      <c r="J33" s="29"/>
      <c r="K33" s="29"/>
    </row>
    <row r="34" customFormat="false" ht="15" hidden="false" customHeight="true" outlineLevel="0" collapsed="false">
      <c r="B34" s="27"/>
      <c r="C34" s="27"/>
      <c r="D34" s="27"/>
      <c r="E34" s="27"/>
      <c r="F34" s="28"/>
      <c r="G34" s="28"/>
      <c r="H34" s="27"/>
      <c r="I34" s="27"/>
      <c r="J34" s="29"/>
      <c r="K34" s="29"/>
    </row>
    <row r="35" customFormat="false" ht="15" hidden="false" customHeight="true" outlineLevel="0" collapsed="false">
      <c r="B35" s="27"/>
      <c r="C35" s="27"/>
      <c r="D35" s="27"/>
      <c r="E35" s="27"/>
      <c r="F35" s="28"/>
      <c r="G35" s="28"/>
      <c r="H35" s="27"/>
      <c r="I35" s="27"/>
      <c r="J35" s="29"/>
      <c r="K35" s="29"/>
    </row>
    <row r="36" customFormat="false" ht="15" hidden="false" customHeight="true" outlineLevel="0" collapsed="false">
      <c r="B36" s="27"/>
      <c r="C36" s="27"/>
      <c r="D36" s="27"/>
      <c r="E36" s="27"/>
      <c r="F36" s="28"/>
      <c r="G36" s="28"/>
      <c r="H36" s="27"/>
      <c r="I36" s="27"/>
      <c r="J36" s="29"/>
      <c r="K36" s="29"/>
    </row>
    <row r="37" customFormat="false" ht="15" hidden="false" customHeight="true" outlineLevel="0" collapsed="false">
      <c r="B37" s="27"/>
      <c r="C37" s="27"/>
      <c r="D37" s="27"/>
      <c r="E37" s="27"/>
      <c r="F37" s="28"/>
      <c r="G37" s="28"/>
      <c r="H37" s="27"/>
      <c r="I37" s="27"/>
      <c r="J37" s="29"/>
      <c r="K37" s="29"/>
    </row>
    <row r="38" customFormat="false" ht="15" hidden="false" customHeight="true" outlineLevel="0" collapsed="false">
      <c r="B38" s="27"/>
      <c r="C38" s="27"/>
      <c r="D38" s="27"/>
      <c r="E38" s="27"/>
      <c r="F38" s="28"/>
      <c r="G38" s="28"/>
      <c r="H38" s="27"/>
      <c r="I38" s="27"/>
      <c r="J38" s="29"/>
      <c r="K38" s="29"/>
    </row>
    <row r="39" customFormat="false" ht="15" hidden="false" customHeight="true" outlineLevel="0" collapsed="false">
      <c r="B39" s="27"/>
      <c r="C39" s="27"/>
      <c r="D39" s="27"/>
      <c r="E39" s="27"/>
      <c r="F39" s="28"/>
      <c r="G39" s="28"/>
      <c r="H39" s="27"/>
      <c r="I39" s="27"/>
      <c r="J39" s="29"/>
      <c r="K39" s="29"/>
    </row>
    <row r="40" customFormat="false" ht="15" hidden="false" customHeight="true" outlineLevel="0" collapsed="false">
      <c r="B40" s="27"/>
      <c r="C40" s="27"/>
      <c r="D40" s="27"/>
      <c r="E40" s="27"/>
      <c r="F40" s="28"/>
      <c r="G40" s="28"/>
      <c r="H40" s="27"/>
      <c r="I40" s="27"/>
      <c r="J40" s="29"/>
      <c r="K40" s="29"/>
    </row>
    <row r="41" customFormat="false" ht="15" hidden="false" customHeight="true" outlineLevel="0" collapsed="false">
      <c r="B41" s="27"/>
      <c r="C41" s="27"/>
      <c r="D41" s="27"/>
      <c r="E41" s="27"/>
      <c r="F41" s="28"/>
      <c r="G41" s="28"/>
      <c r="H41" s="27"/>
      <c r="I41" s="27"/>
      <c r="J41" s="29"/>
      <c r="K41" s="29"/>
    </row>
    <row r="42" customFormat="false" ht="15" hidden="false" customHeight="true" outlineLevel="0" collapsed="false">
      <c r="B42" s="27"/>
      <c r="C42" s="27"/>
      <c r="D42" s="27"/>
      <c r="E42" s="27"/>
      <c r="F42" s="28"/>
      <c r="G42" s="28"/>
      <c r="H42" s="27"/>
      <c r="I42" s="27"/>
      <c r="J42" s="29"/>
      <c r="K42" s="29"/>
    </row>
    <row r="43" customFormat="false" ht="15" hidden="false" customHeight="true" outlineLevel="0" collapsed="false">
      <c r="B43" s="27"/>
      <c r="C43" s="27"/>
      <c r="D43" s="27"/>
      <c r="E43" s="27"/>
      <c r="F43" s="28"/>
      <c r="G43" s="28"/>
      <c r="H43" s="27"/>
      <c r="I43" s="27"/>
      <c r="J43" s="29"/>
      <c r="K43" s="29"/>
    </row>
    <row r="44" customFormat="false" ht="15" hidden="false" customHeight="true" outlineLevel="0" collapsed="false">
      <c r="B44" s="27"/>
      <c r="C44" s="27"/>
      <c r="D44" s="27"/>
      <c r="E44" s="27"/>
      <c r="F44" s="28"/>
      <c r="G44" s="28"/>
      <c r="H44" s="27"/>
      <c r="I44" s="27"/>
      <c r="J44" s="29"/>
      <c r="K44" s="29"/>
    </row>
    <row r="45" customFormat="false" ht="15" hidden="false" customHeight="true" outlineLevel="0" collapsed="false">
      <c r="B45" s="27"/>
      <c r="C45" s="27"/>
      <c r="D45" s="27"/>
      <c r="E45" s="27"/>
      <c r="F45" s="28"/>
      <c r="G45" s="28"/>
      <c r="H45" s="27"/>
      <c r="I45" s="27"/>
      <c r="J45" s="29"/>
      <c r="K45" s="29"/>
    </row>
    <row r="46" customFormat="false" ht="15" hidden="false" customHeight="true" outlineLevel="0" collapsed="false">
      <c r="B46" s="27"/>
      <c r="C46" s="27"/>
      <c r="D46" s="27"/>
      <c r="E46" s="27"/>
      <c r="F46" s="28"/>
      <c r="G46" s="28"/>
      <c r="H46" s="27"/>
      <c r="I46" s="27"/>
      <c r="J46" s="29"/>
      <c r="K46" s="29"/>
    </row>
    <row r="47" customFormat="false" ht="15" hidden="false" customHeight="true" outlineLevel="0" collapsed="false">
      <c r="B47" s="27"/>
      <c r="C47" s="27"/>
      <c r="D47" s="27"/>
      <c r="E47" s="27"/>
      <c r="F47" s="28"/>
      <c r="G47" s="28"/>
      <c r="H47" s="27"/>
      <c r="I47" s="27"/>
      <c r="J47" s="29"/>
      <c r="K47" s="29"/>
    </row>
    <row r="48" customFormat="false" ht="15" hidden="false" customHeight="true" outlineLevel="0" collapsed="false">
      <c r="B48" s="27"/>
      <c r="C48" s="27"/>
      <c r="D48" s="27"/>
      <c r="E48" s="27"/>
      <c r="F48" s="28"/>
      <c r="G48" s="28"/>
      <c r="H48" s="27"/>
      <c r="I48" s="27"/>
      <c r="J48" s="29"/>
      <c r="K48" s="29"/>
    </row>
    <row r="49" customFormat="false" ht="15" hidden="false" customHeight="true" outlineLevel="0" collapsed="false">
      <c r="B49" s="27"/>
      <c r="C49" s="27"/>
      <c r="D49" s="27"/>
      <c r="E49" s="27"/>
      <c r="F49" s="28"/>
      <c r="G49" s="28"/>
      <c r="H49" s="27"/>
      <c r="I49" s="27"/>
      <c r="J49" s="29"/>
      <c r="K49" s="29"/>
    </row>
    <row r="50" customFormat="false" ht="15" hidden="false" customHeight="true" outlineLevel="0" collapsed="false">
      <c r="B50" s="27"/>
      <c r="C50" s="27"/>
      <c r="D50" s="27"/>
      <c r="E50" s="27"/>
      <c r="F50" s="28"/>
      <c r="G50" s="28"/>
      <c r="H50" s="27"/>
      <c r="I50" s="27"/>
      <c r="J50" s="29"/>
      <c r="K50" s="29"/>
    </row>
    <row r="51" customFormat="false" ht="15" hidden="false" customHeight="true" outlineLevel="0" collapsed="false">
      <c r="B51" s="27"/>
      <c r="C51" s="27"/>
      <c r="D51" s="27"/>
      <c r="E51" s="27"/>
      <c r="F51" s="28"/>
      <c r="G51" s="28"/>
      <c r="H51" s="27"/>
      <c r="I51" s="27"/>
      <c r="J51" s="29"/>
      <c r="K51" s="29"/>
    </row>
    <row r="52" customFormat="false" ht="15" hidden="false" customHeight="true" outlineLevel="0" collapsed="false">
      <c r="B52" s="27"/>
      <c r="C52" s="27"/>
      <c r="D52" s="27"/>
      <c r="E52" s="27"/>
      <c r="F52" s="28"/>
      <c r="G52" s="28"/>
      <c r="H52" s="27"/>
      <c r="I52" s="27"/>
      <c r="J52" s="29"/>
      <c r="K52" s="29"/>
    </row>
    <row r="53" customFormat="false" ht="15" hidden="false" customHeight="true" outlineLevel="0" collapsed="false">
      <c r="B53" s="27"/>
      <c r="C53" s="27"/>
      <c r="D53" s="27"/>
      <c r="E53" s="27"/>
      <c r="F53" s="28"/>
      <c r="G53" s="28"/>
      <c r="H53" s="27"/>
      <c r="I53" s="27"/>
      <c r="J53" s="29"/>
      <c r="K53" s="29"/>
    </row>
    <row r="54" customFormat="false" ht="15" hidden="false" customHeight="true" outlineLevel="0" collapsed="false">
      <c r="B54" s="27"/>
      <c r="C54" s="27"/>
      <c r="D54" s="27"/>
      <c r="E54" s="27"/>
      <c r="F54" s="28"/>
      <c r="G54" s="28"/>
      <c r="H54" s="27"/>
      <c r="I54" s="27"/>
      <c r="J54" s="29"/>
      <c r="K54" s="29"/>
    </row>
    <row r="55" customFormat="false" ht="15" hidden="false" customHeight="true" outlineLevel="0" collapsed="false">
      <c r="B55" s="27"/>
      <c r="C55" s="27"/>
      <c r="D55" s="27"/>
      <c r="E55" s="27"/>
      <c r="F55" s="28"/>
      <c r="G55" s="28"/>
      <c r="H55" s="27"/>
      <c r="I55" s="27"/>
      <c r="J55" s="29"/>
      <c r="K55" s="29"/>
    </row>
    <row r="56" customFormat="false" ht="15" hidden="false" customHeight="true" outlineLevel="0" collapsed="false">
      <c r="B56" s="27"/>
      <c r="C56" s="27"/>
      <c r="D56" s="27"/>
      <c r="E56" s="27"/>
      <c r="F56" s="28"/>
      <c r="G56" s="28"/>
      <c r="H56" s="27"/>
      <c r="I56" s="27"/>
      <c r="J56" s="29"/>
      <c r="K56" s="29"/>
    </row>
    <row r="57" customFormat="false" ht="15" hidden="false" customHeight="true" outlineLevel="0" collapsed="false">
      <c r="B57" s="27"/>
      <c r="C57" s="27"/>
      <c r="D57" s="27"/>
      <c r="E57" s="27"/>
      <c r="F57" s="28"/>
      <c r="G57" s="28"/>
      <c r="H57" s="27"/>
      <c r="I57" s="27"/>
      <c r="J57" s="29"/>
      <c r="K57" s="29"/>
    </row>
    <row r="58" customFormat="false" ht="15" hidden="false" customHeight="true" outlineLevel="0" collapsed="false">
      <c r="B58" s="27"/>
      <c r="C58" s="27"/>
      <c r="D58" s="27"/>
      <c r="E58" s="27"/>
      <c r="F58" s="28"/>
      <c r="G58" s="28"/>
      <c r="H58" s="27"/>
      <c r="I58" s="27"/>
      <c r="J58" s="29"/>
      <c r="K58" s="29"/>
    </row>
    <row r="59" customFormat="false" ht="15" hidden="false" customHeight="true" outlineLevel="0" collapsed="false">
      <c r="B59" s="27"/>
      <c r="C59" s="27"/>
      <c r="D59" s="27"/>
      <c r="E59" s="27"/>
      <c r="F59" s="28"/>
      <c r="G59" s="28"/>
      <c r="H59" s="27"/>
      <c r="I59" s="27"/>
      <c r="J59" s="29"/>
      <c r="K59" s="29"/>
    </row>
    <row r="60" customFormat="false" ht="15" hidden="false" customHeight="true" outlineLevel="0" collapsed="false">
      <c r="B60" s="27"/>
      <c r="C60" s="27"/>
      <c r="D60" s="27"/>
      <c r="E60" s="27"/>
      <c r="F60" s="28"/>
      <c r="G60" s="28"/>
      <c r="H60" s="27"/>
      <c r="I60" s="27"/>
      <c r="J60" s="29"/>
      <c r="K60" s="29"/>
    </row>
    <row r="61" customFormat="false" ht="15" hidden="false" customHeight="true" outlineLevel="0" collapsed="false">
      <c r="B61" s="27"/>
      <c r="C61" s="27"/>
      <c r="D61" s="27"/>
      <c r="E61" s="27"/>
      <c r="F61" s="28"/>
      <c r="G61" s="28"/>
      <c r="H61" s="27"/>
      <c r="I61" s="27"/>
      <c r="J61" s="29"/>
      <c r="K61" s="29"/>
    </row>
    <row r="62" customFormat="false" ht="15" hidden="false" customHeight="true" outlineLevel="0" collapsed="false">
      <c r="B62" s="27"/>
      <c r="C62" s="27"/>
      <c r="D62" s="27"/>
      <c r="E62" s="27"/>
      <c r="F62" s="28"/>
      <c r="G62" s="28"/>
      <c r="H62" s="27"/>
      <c r="I62" s="27"/>
      <c r="J62" s="29"/>
      <c r="K62" s="29"/>
    </row>
    <row r="63" customFormat="false" ht="15" hidden="false" customHeight="true" outlineLevel="0" collapsed="false">
      <c r="B63" s="27"/>
      <c r="C63" s="27"/>
      <c r="D63" s="27"/>
      <c r="E63" s="27"/>
      <c r="F63" s="28"/>
      <c r="G63" s="28"/>
      <c r="H63" s="27"/>
      <c r="I63" s="27"/>
      <c r="J63" s="29"/>
      <c r="K63" s="29"/>
    </row>
    <row r="64" customFormat="false" ht="15" hidden="false" customHeight="true" outlineLevel="0" collapsed="false">
      <c r="B64" s="27"/>
      <c r="C64" s="27"/>
      <c r="D64" s="27"/>
      <c r="E64" s="27"/>
      <c r="F64" s="28"/>
      <c r="G64" s="28"/>
      <c r="H64" s="27"/>
      <c r="I64" s="27"/>
      <c r="J64" s="29"/>
      <c r="K64" s="29"/>
    </row>
    <row r="65" customFormat="false" ht="15" hidden="false" customHeight="true" outlineLevel="0" collapsed="false">
      <c r="B65" s="27"/>
      <c r="C65" s="27"/>
      <c r="D65" s="27"/>
      <c r="E65" s="27"/>
      <c r="F65" s="28"/>
      <c r="G65" s="28"/>
      <c r="H65" s="27"/>
      <c r="I65" s="27"/>
      <c r="J65" s="29"/>
      <c r="K65" s="29"/>
    </row>
    <row r="66" customFormat="false" ht="15" hidden="false" customHeight="true" outlineLevel="0" collapsed="false">
      <c r="B66" s="27"/>
      <c r="C66" s="27"/>
      <c r="D66" s="27"/>
      <c r="E66" s="27"/>
      <c r="F66" s="28"/>
      <c r="G66" s="28"/>
      <c r="H66" s="27"/>
      <c r="I66" s="27"/>
      <c r="J66" s="29"/>
      <c r="K66" s="29"/>
    </row>
    <row r="67" customFormat="false" ht="15" hidden="false" customHeight="true" outlineLevel="0" collapsed="false">
      <c r="B67" s="27"/>
      <c r="C67" s="27"/>
      <c r="D67" s="27"/>
      <c r="E67" s="27"/>
      <c r="F67" s="28"/>
      <c r="G67" s="28"/>
      <c r="H67" s="27"/>
      <c r="I67" s="27"/>
      <c r="J67" s="29"/>
      <c r="K67" s="29"/>
    </row>
    <row r="68" customFormat="false" ht="15" hidden="false" customHeight="true" outlineLevel="0" collapsed="false">
      <c r="B68" s="27"/>
      <c r="C68" s="27"/>
      <c r="D68" s="27"/>
      <c r="E68" s="27"/>
      <c r="F68" s="28"/>
      <c r="G68" s="28"/>
      <c r="H68" s="27"/>
      <c r="I68" s="27"/>
      <c r="J68" s="29"/>
      <c r="K68" s="29"/>
    </row>
    <row r="69" customFormat="false" ht="15" hidden="false" customHeight="true" outlineLevel="0" collapsed="false">
      <c r="B69" s="27"/>
      <c r="C69" s="27"/>
      <c r="D69" s="27"/>
      <c r="E69" s="27"/>
      <c r="F69" s="28"/>
      <c r="G69" s="28"/>
      <c r="H69" s="27"/>
      <c r="I69" s="27"/>
      <c r="J69" s="29"/>
      <c r="K69" s="29"/>
    </row>
    <row r="70" customFormat="false" ht="15" hidden="false" customHeight="true" outlineLevel="0" collapsed="false">
      <c r="B70" s="27"/>
      <c r="C70" s="27"/>
      <c r="D70" s="27"/>
      <c r="E70" s="27"/>
      <c r="F70" s="28"/>
      <c r="G70" s="28"/>
      <c r="H70" s="27"/>
      <c r="I70" s="27"/>
      <c r="J70" s="29"/>
      <c r="K70" s="29"/>
    </row>
    <row r="71" customFormat="false" ht="15" hidden="false" customHeight="true" outlineLevel="0" collapsed="false">
      <c r="B71" s="27"/>
      <c r="C71" s="27"/>
      <c r="D71" s="27"/>
      <c r="E71" s="27"/>
      <c r="F71" s="28"/>
      <c r="G71" s="28"/>
      <c r="H71" s="27"/>
      <c r="I71" s="27"/>
      <c r="J71" s="29"/>
      <c r="K71" s="29"/>
    </row>
    <row r="72" customFormat="false" ht="15" hidden="false" customHeight="true" outlineLevel="0" collapsed="false">
      <c r="B72" s="27"/>
      <c r="C72" s="27"/>
      <c r="D72" s="27"/>
      <c r="E72" s="27"/>
      <c r="F72" s="28"/>
      <c r="G72" s="28"/>
      <c r="H72" s="27"/>
      <c r="I72" s="27"/>
      <c r="J72" s="29"/>
      <c r="K72" s="29"/>
    </row>
    <row r="73" customFormat="false" ht="15" hidden="false" customHeight="true" outlineLevel="0" collapsed="false">
      <c r="B73" s="27"/>
      <c r="C73" s="27"/>
      <c r="D73" s="27"/>
      <c r="E73" s="27"/>
      <c r="F73" s="28"/>
      <c r="G73" s="28"/>
      <c r="H73" s="27"/>
      <c r="I73" s="27"/>
      <c r="J73" s="29"/>
      <c r="K73" s="29"/>
    </row>
    <row r="74" customFormat="false" ht="15" hidden="false" customHeight="true" outlineLevel="0" collapsed="false">
      <c r="B74" s="27"/>
      <c r="C74" s="27"/>
      <c r="D74" s="27"/>
      <c r="E74" s="27"/>
      <c r="F74" s="28"/>
      <c r="G74" s="28"/>
      <c r="H74" s="27"/>
      <c r="I74" s="27"/>
      <c r="J74" s="29"/>
      <c r="K74" s="29"/>
    </row>
    <row r="75" customFormat="false" ht="15" hidden="false" customHeight="true" outlineLevel="0" collapsed="false">
      <c r="B75" s="27"/>
      <c r="C75" s="27"/>
      <c r="D75" s="27"/>
      <c r="E75" s="27"/>
      <c r="F75" s="28"/>
      <c r="G75" s="28"/>
      <c r="H75" s="27"/>
      <c r="I75" s="27"/>
      <c r="J75" s="29"/>
      <c r="K75" s="29"/>
    </row>
    <row r="76" customFormat="false" ht="15" hidden="false" customHeight="true" outlineLevel="0" collapsed="false">
      <c r="B76" s="27"/>
      <c r="C76" s="27"/>
      <c r="D76" s="27"/>
      <c r="E76" s="27"/>
      <c r="F76" s="28"/>
      <c r="G76" s="28"/>
      <c r="H76" s="27"/>
      <c r="I76" s="27"/>
      <c r="J76" s="29"/>
      <c r="K76" s="29"/>
    </row>
    <row r="77" customFormat="false" ht="15" hidden="false" customHeight="true" outlineLevel="0" collapsed="false">
      <c r="B77" s="27"/>
      <c r="C77" s="27"/>
      <c r="D77" s="27"/>
      <c r="E77" s="27"/>
      <c r="F77" s="28"/>
      <c r="G77" s="28"/>
      <c r="H77" s="27"/>
      <c r="I77" s="27"/>
      <c r="J77" s="29"/>
      <c r="K77" s="29"/>
    </row>
    <row r="78" customFormat="false" ht="15" hidden="false" customHeight="true" outlineLevel="0" collapsed="false">
      <c r="B78" s="27"/>
      <c r="C78" s="27"/>
      <c r="D78" s="27"/>
      <c r="E78" s="27"/>
      <c r="F78" s="28"/>
      <c r="G78" s="28"/>
      <c r="H78" s="27"/>
      <c r="I78" s="27"/>
      <c r="J78" s="29"/>
      <c r="K78" s="29"/>
    </row>
    <row r="79" customFormat="false" ht="15" hidden="false" customHeight="true" outlineLevel="0" collapsed="false">
      <c r="B79" s="27"/>
      <c r="C79" s="27"/>
      <c r="D79" s="27"/>
      <c r="E79" s="27"/>
      <c r="F79" s="28"/>
      <c r="G79" s="28"/>
      <c r="H79" s="27"/>
      <c r="I79" s="27"/>
      <c r="J79" s="29"/>
      <c r="K79" s="29"/>
    </row>
    <row r="80" customFormat="false" ht="15" hidden="false" customHeight="true" outlineLevel="0" collapsed="false">
      <c r="B80" s="27"/>
      <c r="C80" s="27"/>
      <c r="D80" s="27"/>
      <c r="E80" s="27"/>
      <c r="F80" s="28"/>
      <c r="G80" s="28"/>
      <c r="H80" s="27"/>
      <c r="I80" s="27"/>
      <c r="J80" s="29"/>
      <c r="K80" s="29"/>
    </row>
    <row r="81" customFormat="false" ht="15" hidden="false" customHeight="true" outlineLevel="0" collapsed="false">
      <c r="B81" s="27"/>
      <c r="C81" s="27"/>
      <c r="D81" s="27"/>
      <c r="E81" s="27"/>
      <c r="F81" s="28"/>
      <c r="G81" s="28"/>
      <c r="H81" s="27"/>
      <c r="I81" s="27"/>
      <c r="J81" s="29"/>
      <c r="K81" s="29"/>
    </row>
    <row r="82" customFormat="false" ht="15" hidden="false" customHeight="true" outlineLevel="0" collapsed="false">
      <c r="B82" s="27"/>
      <c r="C82" s="27"/>
      <c r="D82" s="27"/>
      <c r="E82" s="27"/>
      <c r="F82" s="28"/>
      <c r="G82" s="28"/>
      <c r="H82" s="27"/>
      <c r="I82" s="27"/>
      <c r="J82" s="29"/>
      <c r="K82" s="29"/>
    </row>
    <row r="83" customFormat="false" ht="15" hidden="false" customHeight="true" outlineLevel="0" collapsed="false">
      <c r="B83" s="27"/>
      <c r="C83" s="27"/>
      <c r="D83" s="27"/>
      <c r="E83" s="27"/>
      <c r="F83" s="28"/>
      <c r="G83" s="28"/>
      <c r="H83" s="27"/>
      <c r="I83" s="27"/>
      <c r="J83" s="29"/>
      <c r="K83" s="29"/>
    </row>
    <row r="84" customFormat="false" ht="15" hidden="false" customHeight="true" outlineLevel="0" collapsed="false">
      <c r="B84" s="27"/>
      <c r="C84" s="27"/>
      <c r="D84" s="27"/>
      <c r="E84" s="27"/>
      <c r="F84" s="28"/>
      <c r="G84" s="28"/>
      <c r="H84" s="27"/>
      <c r="I84" s="27"/>
      <c r="J84" s="29"/>
      <c r="K84" s="29"/>
    </row>
    <row r="85" customFormat="false" ht="15" hidden="false" customHeight="true" outlineLevel="0" collapsed="false">
      <c r="B85" s="27"/>
      <c r="C85" s="27"/>
      <c r="D85" s="27"/>
      <c r="E85" s="27"/>
      <c r="F85" s="28"/>
      <c r="G85" s="28"/>
      <c r="H85" s="27"/>
      <c r="I85" s="27"/>
      <c r="J85" s="29"/>
      <c r="K85" s="29"/>
    </row>
    <row r="86" customFormat="false" ht="15" hidden="false" customHeight="true" outlineLevel="0" collapsed="false">
      <c r="B86" s="27"/>
      <c r="C86" s="27"/>
      <c r="D86" s="27"/>
      <c r="E86" s="27"/>
      <c r="F86" s="28"/>
      <c r="G86" s="28"/>
      <c r="H86" s="27"/>
      <c r="I86" s="27"/>
      <c r="J86" s="29"/>
      <c r="K86" s="29"/>
    </row>
    <row r="87" customFormat="false" ht="15" hidden="false" customHeight="true" outlineLevel="0" collapsed="false">
      <c r="B87" s="27"/>
      <c r="C87" s="27"/>
      <c r="D87" s="27"/>
      <c r="E87" s="27"/>
      <c r="F87" s="28"/>
      <c r="G87" s="28"/>
      <c r="H87" s="27"/>
      <c r="I87" s="27"/>
      <c r="J87" s="29"/>
      <c r="K87" s="29"/>
    </row>
    <row r="88" customFormat="false" ht="15" hidden="false" customHeight="true" outlineLevel="0" collapsed="false">
      <c r="B88" s="27"/>
      <c r="C88" s="27"/>
      <c r="D88" s="27"/>
      <c r="E88" s="27"/>
      <c r="F88" s="28"/>
      <c r="G88" s="28"/>
      <c r="H88" s="27"/>
      <c r="I88" s="27"/>
      <c r="J88" s="29"/>
      <c r="K88" s="29"/>
    </row>
    <row r="89" customFormat="false" ht="15" hidden="false" customHeight="true" outlineLevel="0" collapsed="false">
      <c r="B89" s="27"/>
      <c r="C89" s="27"/>
      <c r="D89" s="27"/>
      <c r="E89" s="27"/>
      <c r="F89" s="28"/>
      <c r="G89" s="28"/>
      <c r="H89" s="27"/>
      <c r="I89" s="27"/>
      <c r="J89" s="29"/>
      <c r="K89" s="29"/>
    </row>
    <row r="90" customFormat="false" ht="15" hidden="false" customHeight="true" outlineLevel="0" collapsed="false">
      <c r="B90" s="27"/>
      <c r="C90" s="27"/>
      <c r="D90" s="27"/>
      <c r="E90" s="27"/>
      <c r="F90" s="28"/>
      <c r="G90" s="28"/>
      <c r="H90" s="27"/>
      <c r="I90" s="27"/>
      <c r="J90" s="29"/>
      <c r="K90" s="29"/>
    </row>
    <row r="91" customFormat="false" ht="15" hidden="false" customHeight="true" outlineLevel="0" collapsed="false">
      <c r="B91" s="27"/>
      <c r="C91" s="27"/>
      <c r="D91" s="27"/>
      <c r="E91" s="27"/>
      <c r="F91" s="28"/>
      <c r="G91" s="28"/>
      <c r="H91" s="27"/>
      <c r="I91" s="27"/>
      <c r="J91" s="29"/>
      <c r="K91" s="29"/>
    </row>
    <row r="92" customFormat="false" ht="15" hidden="false" customHeight="true" outlineLevel="0" collapsed="false">
      <c r="B92" s="27"/>
      <c r="C92" s="27"/>
      <c r="D92" s="27"/>
      <c r="E92" s="27"/>
      <c r="F92" s="28"/>
      <c r="G92" s="28"/>
      <c r="H92" s="27"/>
      <c r="I92" s="27"/>
      <c r="J92" s="29"/>
      <c r="K92" s="29"/>
    </row>
    <row r="93" customFormat="false" ht="15" hidden="false" customHeight="true" outlineLevel="0" collapsed="false">
      <c r="B93" s="27"/>
      <c r="C93" s="27"/>
      <c r="D93" s="27"/>
      <c r="E93" s="27"/>
      <c r="F93" s="28"/>
      <c r="G93" s="28"/>
      <c r="H93" s="27"/>
      <c r="I93" s="27"/>
      <c r="J93" s="29"/>
      <c r="K93" s="29"/>
    </row>
    <row r="94" customFormat="false" ht="15" hidden="false" customHeight="true" outlineLevel="0" collapsed="false">
      <c r="B94" s="27"/>
      <c r="C94" s="27"/>
      <c r="D94" s="27"/>
      <c r="E94" s="27"/>
      <c r="F94" s="28"/>
      <c r="G94" s="28"/>
      <c r="H94" s="27"/>
      <c r="I94" s="27"/>
      <c r="J94" s="29"/>
      <c r="K94" s="29"/>
    </row>
    <row r="95" customFormat="false" ht="15" hidden="false" customHeight="true" outlineLevel="0" collapsed="false">
      <c r="B95" s="27"/>
      <c r="C95" s="27"/>
      <c r="D95" s="27"/>
      <c r="E95" s="27"/>
      <c r="F95" s="28"/>
      <c r="G95" s="28"/>
      <c r="H95" s="27"/>
      <c r="I95" s="27"/>
      <c r="J95" s="29"/>
      <c r="K95" s="29"/>
    </row>
    <row r="96" customFormat="false" ht="15" hidden="false" customHeight="true" outlineLevel="0" collapsed="false">
      <c r="B96" s="27"/>
      <c r="C96" s="27"/>
      <c r="D96" s="27"/>
      <c r="E96" s="27"/>
      <c r="F96" s="28"/>
      <c r="G96" s="28"/>
      <c r="H96" s="27"/>
      <c r="I96" s="27"/>
      <c r="J96" s="29"/>
      <c r="K96" s="29"/>
    </row>
    <row r="97" customFormat="false" ht="15" hidden="false" customHeight="true" outlineLevel="0" collapsed="false">
      <c r="B97" s="27"/>
      <c r="C97" s="27"/>
      <c r="D97" s="27"/>
      <c r="E97" s="27"/>
      <c r="F97" s="28"/>
      <c r="G97" s="28"/>
      <c r="H97" s="27"/>
      <c r="I97" s="27"/>
      <c r="J97" s="29"/>
      <c r="K97" s="29"/>
    </row>
    <row r="98" customFormat="false" ht="15" hidden="false" customHeight="true" outlineLevel="0" collapsed="false">
      <c r="B98" s="27"/>
      <c r="C98" s="27"/>
      <c r="D98" s="27"/>
      <c r="E98" s="27"/>
      <c r="F98" s="28"/>
      <c r="G98" s="28"/>
      <c r="H98" s="27"/>
      <c r="I98" s="27"/>
      <c r="J98" s="29"/>
      <c r="K98" s="29"/>
    </row>
    <row r="99" customFormat="false" ht="15" hidden="false" customHeight="true" outlineLevel="0" collapsed="false">
      <c r="B99" s="27"/>
      <c r="C99" s="27"/>
      <c r="D99" s="27"/>
      <c r="E99" s="27"/>
      <c r="F99" s="28"/>
      <c r="G99" s="28"/>
      <c r="H99" s="27"/>
      <c r="I99" s="27"/>
      <c r="J99" s="29"/>
      <c r="K99" s="29"/>
    </row>
    <row r="100" customFormat="false" ht="15" hidden="false" customHeight="true" outlineLevel="0" collapsed="false">
      <c r="B100" s="27"/>
      <c r="C100" s="27"/>
      <c r="D100" s="27"/>
      <c r="E100" s="27"/>
      <c r="F100" s="28"/>
      <c r="G100" s="28"/>
      <c r="H100" s="27"/>
      <c r="I100" s="27"/>
      <c r="J100" s="29"/>
      <c r="K100" s="29"/>
    </row>
    <row r="101" customFormat="false" ht="15" hidden="false" customHeight="true" outlineLevel="0" collapsed="false">
      <c r="B101" s="27"/>
      <c r="C101" s="27"/>
      <c r="D101" s="27"/>
      <c r="E101" s="27"/>
      <c r="F101" s="28"/>
      <c r="G101" s="28"/>
      <c r="H101" s="27"/>
      <c r="I101" s="27"/>
      <c r="J101" s="29"/>
      <c r="K101" s="29"/>
    </row>
    <row r="102" customFormat="false" ht="15" hidden="false" customHeight="true" outlineLevel="0" collapsed="false">
      <c r="B102" s="27"/>
      <c r="C102" s="27"/>
      <c r="D102" s="27"/>
      <c r="E102" s="27"/>
      <c r="F102" s="28"/>
      <c r="G102" s="28"/>
      <c r="H102" s="27"/>
      <c r="I102" s="27"/>
      <c r="J102" s="29"/>
      <c r="K102" s="29"/>
    </row>
    <row r="103" customFormat="false" ht="15" hidden="false" customHeight="true" outlineLevel="0" collapsed="false">
      <c r="B103" s="27"/>
      <c r="C103" s="27"/>
      <c r="D103" s="27"/>
      <c r="E103" s="27"/>
      <c r="F103" s="28"/>
      <c r="G103" s="28"/>
      <c r="H103" s="27"/>
      <c r="I103" s="27"/>
      <c r="J103" s="29"/>
      <c r="K103" s="29"/>
    </row>
    <row r="104" customFormat="false" ht="15" hidden="false" customHeight="true" outlineLevel="0" collapsed="false">
      <c r="B104" s="27"/>
      <c r="C104" s="27"/>
      <c r="D104" s="27"/>
      <c r="E104" s="27"/>
      <c r="F104" s="28"/>
      <c r="G104" s="28"/>
      <c r="H104" s="27"/>
      <c r="I104" s="27"/>
      <c r="J104" s="29"/>
      <c r="K104" s="29"/>
    </row>
    <row r="105" customFormat="false" ht="15" hidden="false" customHeight="true" outlineLevel="0" collapsed="false">
      <c r="B105" s="27"/>
      <c r="C105" s="27"/>
      <c r="D105" s="27"/>
      <c r="E105" s="27"/>
      <c r="F105" s="28"/>
      <c r="G105" s="28"/>
      <c r="H105" s="27"/>
      <c r="I105" s="27"/>
      <c r="J105" s="29"/>
      <c r="K105" s="29"/>
    </row>
    <row r="106" customFormat="false" ht="15" hidden="false" customHeight="true" outlineLevel="0" collapsed="false">
      <c r="B106" s="27"/>
      <c r="C106" s="27"/>
      <c r="D106" s="27"/>
      <c r="E106" s="27"/>
      <c r="F106" s="28"/>
      <c r="G106" s="28"/>
      <c r="H106" s="27"/>
      <c r="I106" s="27"/>
      <c r="J106" s="29"/>
      <c r="K106" s="29"/>
    </row>
    <row r="107" customFormat="false" ht="15" hidden="false" customHeight="true" outlineLevel="0" collapsed="false">
      <c r="B107" s="27"/>
      <c r="C107" s="27"/>
      <c r="D107" s="27"/>
      <c r="E107" s="27"/>
      <c r="F107" s="28"/>
      <c r="G107" s="28"/>
      <c r="H107" s="27"/>
      <c r="I107" s="27"/>
      <c r="J107" s="29"/>
      <c r="K107" s="29"/>
    </row>
    <row r="108" customFormat="false" ht="15" hidden="false" customHeight="true" outlineLevel="0" collapsed="false">
      <c r="B108" s="27"/>
      <c r="C108" s="27"/>
      <c r="D108" s="27"/>
      <c r="E108" s="27"/>
      <c r="F108" s="28"/>
      <c r="G108" s="28"/>
      <c r="H108" s="27"/>
      <c r="I108" s="27"/>
      <c r="J108" s="29"/>
      <c r="K108" s="29"/>
    </row>
    <row r="109" customFormat="false" ht="15" hidden="false" customHeight="true" outlineLevel="0" collapsed="false">
      <c r="B109" s="27"/>
      <c r="C109" s="27"/>
      <c r="D109" s="27"/>
      <c r="E109" s="27"/>
      <c r="F109" s="28"/>
      <c r="G109" s="28"/>
      <c r="H109" s="27"/>
      <c r="I109" s="27"/>
      <c r="J109" s="29"/>
      <c r="K109" s="29"/>
    </row>
    <row r="110" customFormat="false" ht="15" hidden="false" customHeight="true" outlineLevel="0" collapsed="false">
      <c r="B110" s="27"/>
      <c r="C110" s="27"/>
      <c r="D110" s="27"/>
      <c r="E110" s="27"/>
      <c r="F110" s="28"/>
      <c r="G110" s="28"/>
      <c r="H110" s="27"/>
      <c r="I110" s="27"/>
      <c r="J110" s="29"/>
      <c r="K110" s="29"/>
    </row>
    <row r="111" customFormat="false" ht="15" hidden="false" customHeight="true" outlineLevel="0" collapsed="false">
      <c r="B111" s="27"/>
      <c r="C111" s="27"/>
      <c r="D111" s="27"/>
      <c r="E111" s="27"/>
      <c r="F111" s="28"/>
      <c r="G111" s="28"/>
      <c r="H111" s="27"/>
      <c r="I111" s="27"/>
      <c r="J111" s="29"/>
      <c r="K111" s="29"/>
    </row>
    <row r="112" customFormat="false" ht="15" hidden="false" customHeight="true" outlineLevel="0" collapsed="false">
      <c r="B112" s="27"/>
      <c r="C112" s="27"/>
      <c r="D112" s="27"/>
      <c r="E112" s="27"/>
      <c r="F112" s="28"/>
      <c r="G112" s="28"/>
      <c r="H112" s="27"/>
      <c r="I112" s="27"/>
      <c r="J112" s="29"/>
      <c r="K112" s="29"/>
    </row>
    <row r="113" customFormat="false" ht="15" hidden="false" customHeight="true" outlineLevel="0" collapsed="false">
      <c r="B113" s="27"/>
      <c r="C113" s="27"/>
      <c r="D113" s="27"/>
      <c r="E113" s="27"/>
      <c r="F113" s="28"/>
      <c r="G113" s="28"/>
      <c r="H113" s="27"/>
      <c r="I113" s="27"/>
      <c r="J113" s="29"/>
      <c r="K113" s="29"/>
    </row>
    <row r="114" customFormat="false" ht="15" hidden="false" customHeight="true" outlineLevel="0" collapsed="false">
      <c r="B114" s="27"/>
      <c r="C114" s="27"/>
      <c r="D114" s="27"/>
      <c r="E114" s="27"/>
      <c r="F114" s="28"/>
      <c r="G114" s="28"/>
      <c r="H114" s="27"/>
      <c r="I114" s="27"/>
      <c r="J114" s="29"/>
      <c r="K114" s="29"/>
    </row>
    <row r="115" customFormat="false" ht="15" hidden="false" customHeight="true" outlineLevel="0" collapsed="false">
      <c r="B115" s="27"/>
      <c r="C115" s="27"/>
      <c r="D115" s="27"/>
      <c r="E115" s="27"/>
      <c r="F115" s="28"/>
      <c r="G115" s="28"/>
      <c r="H115" s="27"/>
      <c r="I115" s="27"/>
      <c r="J115" s="29"/>
      <c r="K115" s="29"/>
    </row>
    <row r="116" customFormat="false" ht="15" hidden="false" customHeight="true" outlineLevel="0" collapsed="false">
      <c r="B116" s="27"/>
      <c r="C116" s="27"/>
      <c r="D116" s="27"/>
      <c r="E116" s="27"/>
      <c r="F116" s="28"/>
      <c r="G116" s="28"/>
      <c r="H116" s="27"/>
      <c r="I116" s="27"/>
      <c r="J116" s="29"/>
      <c r="K116" s="29"/>
    </row>
    <row r="117" customFormat="false" ht="15" hidden="false" customHeight="true" outlineLevel="0" collapsed="false">
      <c r="B117" s="27"/>
      <c r="C117" s="27"/>
      <c r="D117" s="27"/>
      <c r="E117" s="27"/>
      <c r="F117" s="28"/>
      <c r="G117" s="28"/>
      <c r="H117" s="27"/>
      <c r="I117" s="27"/>
      <c r="J117" s="29"/>
      <c r="K117" s="29"/>
    </row>
    <row r="118" customFormat="false" ht="15" hidden="false" customHeight="true" outlineLevel="0" collapsed="false">
      <c r="B118" s="27"/>
      <c r="C118" s="27"/>
      <c r="D118" s="27"/>
      <c r="E118" s="27"/>
      <c r="F118" s="28"/>
      <c r="G118" s="28"/>
      <c r="H118" s="27"/>
      <c r="I118" s="27"/>
      <c r="J118" s="29"/>
      <c r="K118" s="29"/>
    </row>
    <row r="119" customFormat="false" ht="15" hidden="false" customHeight="true" outlineLevel="0" collapsed="false">
      <c r="B119" s="27"/>
      <c r="C119" s="27"/>
      <c r="D119" s="27"/>
      <c r="E119" s="27"/>
      <c r="F119" s="28"/>
      <c r="G119" s="28"/>
      <c r="H119" s="27"/>
      <c r="I119" s="27"/>
      <c r="J119" s="29"/>
      <c r="K119" s="29"/>
    </row>
    <row r="120" customFormat="false" ht="15" hidden="false" customHeight="true" outlineLevel="0" collapsed="false">
      <c r="B120" s="27"/>
      <c r="C120" s="27"/>
      <c r="D120" s="27"/>
      <c r="E120" s="27"/>
      <c r="F120" s="28"/>
      <c r="G120" s="28"/>
      <c r="H120" s="27"/>
      <c r="I120" s="27"/>
      <c r="J120" s="29"/>
      <c r="K120" s="29"/>
    </row>
    <row r="121" customFormat="false" ht="15" hidden="false" customHeight="true" outlineLevel="0" collapsed="false">
      <c r="B121" s="27"/>
      <c r="C121" s="27"/>
      <c r="D121" s="27"/>
      <c r="E121" s="27"/>
      <c r="F121" s="28"/>
      <c r="G121" s="28"/>
      <c r="H121" s="27"/>
      <c r="I121" s="27"/>
      <c r="J121" s="29"/>
      <c r="K121" s="29"/>
    </row>
    <row r="122" customFormat="false" ht="15" hidden="false" customHeight="true" outlineLevel="0" collapsed="false">
      <c r="B122" s="27"/>
      <c r="C122" s="27"/>
      <c r="D122" s="27"/>
      <c r="E122" s="27"/>
      <c r="F122" s="28"/>
      <c r="G122" s="28"/>
      <c r="H122" s="27"/>
      <c r="I122" s="27"/>
      <c r="J122" s="29"/>
      <c r="K122" s="29"/>
    </row>
    <row r="123" customFormat="false" ht="15" hidden="false" customHeight="true" outlineLevel="0" collapsed="false">
      <c r="B123" s="27"/>
      <c r="C123" s="27"/>
      <c r="D123" s="27"/>
      <c r="E123" s="27"/>
      <c r="F123" s="28"/>
      <c r="G123" s="28"/>
      <c r="H123" s="27"/>
      <c r="I123" s="27"/>
      <c r="J123" s="29"/>
      <c r="K123" s="29"/>
    </row>
    <row r="124" customFormat="false" ht="15" hidden="false" customHeight="true" outlineLevel="0" collapsed="false">
      <c r="B124" s="27"/>
      <c r="C124" s="27"/>
      <c r="D124" s="27"/>
      <c r="E124" s="27"/>
      <c r="F124" s="28"/>
      <c r="G124" s="28"/>
      <c r="H124" s="27"/>
      <c r="I124" s="27"/>
      <c r="J124" s="29"/>
      <c r="K124" s="29"/>
    </row>
    <row r="125" customFormat="false" ht="15" hidden="false" customHeight="true" outlineLevel="0" collapsed="false">
      <c r="B125" s="27"/>
      <c r="C125" s="27"/>
      <c r="D125" s="27"/>
      <c r="E125" s="27"/>
      <c r="F125" s="28"/>
      <c r="G125" s="28"/>
      <c r="H125" s="27"/>
      <c r="I125" s="27"/>
      <c r="J125" s="29"/>
      <c r="K125" s="29"/>
    </row>
    <row r="126" customFormat="false" ht="15" hidden="false" customHeight="true" outlineLevel="0" collapsed="false">
      <c r="B126" s="27"/>
      <c r="C126" s="27"/>
      <c r="D126" s="27"/>
      <c r="E126" s="27"/>
      <c r="F126" s="28"/>
      <c r="G126" s="28"/>
      <c r="H126" s="27"/>
      <c r="I126" s="27"/>
      <c r="J126" s="29"/>
      <c r="K126" s="29"/>
    </row>
    <row r="127" customFormat="false" ht="15" hidden="false" customHeight="true" outlineLevel="0" collapsed="false">
      <c r="B127" s="27"/>
      <c r="C127" s="27"/>
      <c r="D127" s="27"/>
      <c r="E127" s="27"/>
      <c r="F127" s="28"/>
      <c r="G127" s="28"/>
      <c r="H127" s="27"/>
      <c r="I127" s="27"/>
      <c r="J127" s="29"/>
      <c r="K127" s="29"/>
    </row>
    <row r="128" customFormat="false" ht="15" hidden="false" customHeight="true" outlineLevel="0" collapsed="false">
      <c r="B128" s="27"/>
      <c r="C128" s="27"/>
      <c r="D128" s="27"/>
      <c r="E128" s="27"/>
      <c r="F128" s="28"/>
      <c r="G128" s="28"/>
      <c r="H128" s="27"/>
      <c r="I128" s="27"/>
      <c r="J128" s="29"/>
      <c r="K128" s="29"/>
    </row>
    <row r="129" customFormat="false" ht="15" hidden="false" customHeight="true" outlineLevel="0" collapsed="false">
      <c r="B129" s="27"/>
      <c r="C129" s="27"/>
      <c r="D129" s="27"/>
      <c r="E129" s="27"/>
      <c r="F129" s="28"/>
      <c r="G129" s="28"/>
      <c r="H129" s="27"/>
      <c r="I129" s="27"/>
      <c r="J129" s="29"/>
      <c r="K129" s="29"/>
    </row>
    <row r="130" customFormat="false" ht="15" hidden="false" customHeight="true" outlineLevel="0" collapsed="false">
      <c r="B130" s="27"/>
      <c r="C130" s="27"/>
      <c r="D130" s="27"/>
      <c r="E130" s="27"/>
      <c r="F130" s="28"/>
      <c r="G130" s="28"/>
      <c r="H130" s="27"/>
      <c r="I130" s="27"/>
      <c r="J130" s="29"/>
      <c r="K130" s="29"/>
    </row>
    <row r="131" customFormat="false" ht="15" hidden="false" customHeight="true" outlineLevel="0" collapsed="false">
      <c r="B131" s="27"/>
      <c r="C131" s="27"/>
      <c r="D131" s="27"/>
      <c r="E131" s="27"/>
      <c r="F131" s="28"/>
      <c r="G131" s="28"/>
      <c r="H131" s="27"/>
      <c r="I131" s="27"/>
      <c r="J131" s="29"/>
      <c r="K131" s="29"/>
    </row>
    <row r="132" customFormat="false" ht="15" hidden="false" customHeight="true" outlineLevel="0" collapsed="false">
      <c r="B132" s="27"/>
      <c r="C132" s="27"/>
      <c r="D132" s="27"/>
      <c r="E132" s="27"/>
      <c r="F132" s="28"/>
      <c r="G132" s="28"/>
      <c r="H132" s="27"/>
      <c r="I132" s="27"/>
      <c r="J132" s="29"/>
      <c r="K132" s="29"/>
    </row>
    <row r="133" customFormat="false" ht="15" hidden="false" customHeight="true" outlineLevel="0" collapsed="false">
      <c r="B133" s="27"/>
      <c r="C133" s="27"/>
      <c r="D133" s="27"/>
      <c r="E133" s="27"/>
      <c r="F133" s="28"/>
      <c r="G133" s="28"/>
      <c r="H133" s="27"/>
      <c r="I133" s="27"/>
      <c r="J133" s="29"/>
      <c r="K133" s="29"/>
    </row>
    <row r="134" customFormat="false" ht="15" hidden="false" customHeight="true" outlineLevel="0" collapsed="false">
      <c r="B134" s="27"/>
      <c r="C134" s="27"/>
      <c r="D134" s="27"/>
      <c r="E134" s="27"/>
      <c r="F134" s="28"/>
      <c r="G134" s="28"/>
      <c r="H134" s="27"/>
      <c r="I134" s="27"/>
      <c r="J134" s="29"/>
      <c r="K134" s="29"/>
    </row>
    <row r="135" customFormat="false" ht="15" hidden="false" customHeight="true" outlineLevel="0" collapsed="false">
      <c r="B135" s="27"/>
      <c r="C135" s="27"/>
      <c r="D135" s="27"/>
      <c r="E135" s="27"/>
      <c r="F135" s="28"/>
      <c r="G135" s="28"/>
      <c r="H135" s="27"/>
      <c r="I135" s="27"/>
      <c r="J135" s="29"/>
      <c r="K135" s="29"/>
    </row>
    <row r="136" customFormat="false" ht="15" hidden="false" customHeight="true" outlineLevel="0" collapsed="false">
      <c r="B136" s="27"/>
      <c r="C136" s="27"/>
      <c r="D136" s="27"/>
      <c r="E136" s="27"/>
      <c r="F136" s="28"/>
      <c r="G136" s="28"/>
      <c r="H136" s="27"/>
      <c r="I136" s="27"/>
      <c r="J136" s="29"/>
      <c r="K136" s="29"/>
    </row>
    <row r="137" customFormat="false" ht="15" hidden="false" customHeight="true" outlineLevel="0" collapsed="false">
      <c r="B137" s="27"/>
      <c r="C137" s="27"/>
      <c r="D137" s="27"/>
      <c r="E137" s="27"/>
      <c r="F137" s="28"/>
      <c r="G137" s="28"/>
      <c r="H137" s="27"/>
      <c r="I137" s="27"/>
      <c r="J137" s="29"/>
      <c r="K137" s="29"/>
    </row>
    <row r="138" customFormat="false" ht="15" hidden="false" customHeight="true" outlineLevel="0" collapsed="false">
      <c r="B138" s="27"/>
      <c r="C138" s="27"/>
      <c r="D138" s="27"/>
      <c r="E138" s="27"/>
      <c r="F138" s="28"/>
      <c r="G138" s="28"/>
      <c r="H138" s="27"/>
      <c r="I138" s="27"/>
      <c r="J138" s="29"/>
      <c r="K138" s="29"/>
    </row>
    <row r="139" customFormat="false" ht="15" hidden="false" customHeight="true" outlineLevel="0" collapsed="false">
      <c r="B139" s="27"/>
      <c r="C139" s="27"/>
      <c r="D139" s="27"/>
      <c r="E139" s="27"/>
      <c r="F139" s="28"/>
      <c r="G139" s="28"/>
      <c r="H139" s="27"/>
      <c r="I139" s="27"/>
      <c r="J139" s="29"/>
      <c r="K139" s="29"/>
    </row>
    <row r="140" customFormat="false" ht="15" hidden="false" customHeight="true" outlineLevel="0" collapsed="false">
      <c r="B140" s="27"/>
      <c r="C140" s="27"/>
      <c r="D140" s="27"/>
      <c r="E140" s="27"/>
      <c r="F140" s="28"/>
      <c r="G140" s="28"/>
      <c r="H140" s="27"/>
      <c r="I140" s="27"/>
      <c r="J140" s="29"/>
      <c r="K140" s="29"/>
    </row>
    <row r="141" customFormat="false" ht="15" hidden="false" customHeight="true" outlineLevel="0" collapsed="false">
      <c r="B141" s="27"/>
      <c r="C141" s="27"/>
      <c r="D141" s="27"/>
      <c r="E141" s="27"/>
      <c r="F141" s="28"/>
      <c r="G141" s="28"/>
      <c r="H141" s="27"/>
      <c r="I141" s="27"/>
      <c r="J141" s="29"/>
      <c r="K141" s="29"/>
    </row>
    <row r="142" customFormat="false" ht="15" hidden="false" customHeight="true" outlineLevel="0" collapsed="false">
      <c r="B142" s="27"/>
      <c r="C142" s="27"/>
      <c r="D142" s="27"/>
      <c r="E142" s="27"/>
      <c r="F142" s="28"/>
      <c r="G142" s="28"/>
      <c r="H142" s="27"/>
      <c r="I142" s="27"/>
      <c r="J142" s="29"/>
      <c r="K142" s="29"/>
    </row>
    <row r="143" customFormat="false" ht="15" hidden="false" customHeight="true" outlineLevel="0" collapsed="false">
      <c r="B143" s="27"/>
      <c r="C143" s="27"/>
      <c r="D143" s="27"/>
      <c r="E143" s="27"/>
      <c r="F143" s="28"/>
      <c r="G143" s="28"/>
      <c r="H143" s="27"/>
      <c r="I143" s="27"/>
      <c r="J143" s="29"/>
      <c r="K143" s="29"/>
    </row>
    <row r="144" customFormat="false" ht="15" hidden="false" customHeight="true" outlineLevel="0" collapsed="false">
      <c r="B144" s="27"/>
      <c r="C144" s="27"/>
      <c r="D144" s="27"/>
      <c r="E144" s="27"/>
      <c r="F144" s="28"/>
      <c r="G144" s="28"/>
      <c r="H144" s="27"/>
      <c r="I144" s="27"/>
      <c r="J144" s="29"/>
      <c r="K144" s="29"/>
    </row>
    <row r="145" customFormat="false" ht="15" hidden="false" customHeight="true" outlineLevel="0" collapsed="false">
      <c r="B145" s="27"/>
      <c r="C145" s="27"/>
      <c r="D145" s="27"/>
      <c r="E145" s="27"/>
      <c r="F145" s="28"/>
      <c r="G145" s="28"/>
      <c r="H145" s="27"/>
      <c r="I145" s="27"/>
      <c r="J145" s="29"/>
      <c r="K145" s="29"/>
    </row>
    <row r="146" customFormat="false" ht="15" hidden="false" customHeight="true" outlineLevel="0" collapsed="false">
      <c r="B146" s="27"/>
      <c r="C146" s="27"/>
      <c r="D146" s="27"/>
      <c r="E146" s="27"/>
      <c r="F146" s="28"/>
      <c r="G146" s="28"/>
      <c r="H146" s="27"/>
      <c r="I146" s="27"/>
      <c r="J146" s="29"/>
      <c r="K146" s="29"/>
    </row>
    <row r="147" customFormat="false" ht="15" hidden="false" customHeight="true" outlineLevel="0" collapsed="false">
      <c r="B147" s="27"/>
      <c r="C147" s="27"/>
      <c r="D147" s="27"/>
      <c r="E147" s="27"/>
      <c r="F147" s="28"/>
      <c r="G147" s="28"/>
      <c r="H147" s="27"/>
      <c r="I147" s="27"/>
      <c r="J147" s="29"/>
      <c r="K147" s="29"/>
    </row>
    <row r="148" customFormat="false" ht="15" hidden="false" customHeight="true" outlineLevel="0" collapsed="false">
      <c r="B148" s="27"/>
      <c r="C148" s="27"/>
      <c r="D148" s="27"/>
      <c r="E148" s="27"/>
      <c r="F148" s="28"/>
      <c r="G148" s="28"/>
      <c r="H148" s="27"/>
      <c r="I148" s="27"/>
      <c r="J148" s="29"/>
      <c r="K148" s="29"/>
    </row>
    <row r="149" customFormat="false" ht="15" hidden="false" customHeight="true" outlineLevel="0" collapsed="false">
      <c r="B149" s="27"/>
      <c r="C149" s="27"/>
      <c r="D149" s="27"/>
      <c r="E149" s="27"/>
      <c r="F149" s="28"/>
      <c r="G149" s="28"/>
      <c r="H149" s="27"/>
      <c r="I149" s="27"/>
      <c r="J149" s="29"/>
      <c r="K149" s="29"/>
    </row>
    <row r="150" customFormat="false" ht="15" hidden="false" customHeight="true" outlineLevel="0" collapsed="false">
      <c r="B150" s="27"/>
      <c r="C150" s="27"/>
      <c r="D150" s="27"/>
      <c r="E150" s="27"/>
      <c r="F150" s="28"/>
      <c r="G150" s="28"/>
      <c r="H150" s="27"/>
      <c r="I150" s="27"/>
      <c r="J150" s="29"/>
      <c r="K150" s="29"/>
    </row>
    <row r="151" customFormat="false" ht="15" hidden="false" customHeight="true" outlineLevel="0" collapsed="false">
      <c r="B151" s="27"/>
      <c r="C151" s="27"/>
      <c r="D151" s="27"/>
      <c r="E151" s="27"/>
      <c r="F151" s="28"/>
      <c r="G151" s="28"/>
      <c r="H151" s="27"/>
      <c r="I151" s="27"/>
      <c r="J151" s="29"/>
      <c r="K151" s="29"/>
    </row>
    <row r="152" customFormat="false" ht="15" hidden="false" customHeight="true" outlineLevel="0" collapsed="false">
      <c r="B152" s="27"/>
      <c r="C152" s="27"/>
      <c r="D152" s="27"/>
      <c r="E152" s="27"/>
      <c r="F152" s="28"/>
      <c r="G152" s="28"/>
      <c r="H152" s="27"/>
      <c r="I152" s="27"/>
      <c r="J152" s="29"/>
      <c r="K152" s="29"/>
    </row>
    <row r="153" customFormat="false" ht="15" hidden="false" customHeight="true" outlineLevel="0" collapsed="false">
      <c r="B153" s="27"/>
      <c r="C153" s="27"/>
      <c r="D153" s="27"/>
      <c r="E153" s="27"/>
      <c r="F153" s="28"/>
      <c r="G153" s="28"/>
      <c r="H153" s="27"/>
      <c r="I153" s="27"/>
      <c r="J153" s="29"/>
      <c r="K153" s="29"/>
    </row>
    <row r="154" customFormat="false" ht="15" hidden="false" customHeight="true" outlineLevel="0" collapsed="false">
      <c r="B154" s="27"/>
      <c r="C154" s="27"/>
      <c r="D154" s="27"/>
      <c r="E154" s="27"/>
      <c r="F154" s="28"/>
      <c r="G154" s="28"/>
      <c r="H154" s="27"/>
      <c r="I154" s="27"/>
      <c r="J154" s="29"/>
      <c r="K154" s="29"/>
    </row>
    <row r="155" customFormat="false" ht="15" hidden="false" customHeight="true" outlineLevel="0" collapsed="false">
      <c r="B155" s="27"/>
      <c r="C155" s="27"/>
      <c r="D155" s="27"/>
      <c r="E155" s="27"/>
      <c r="F155" s="28"/>
      <c r="G155" s="28"/>
      <c r="H155" s="27"/>
      <c r="I155" s="27"/>
      <c r="J155" s="29"/>
      <c r="K155" s="29"/>
    </row>
    <row r="156" customFormat="false" ht="15" hidden="false" customHeight="true" outlineLevel="0" collapsed="false">
      <c r="B156" s="27"/>
      <c r="C156" s="27"/>
      <c r="D156" s="27"/>
      <c r="E156" s="27"/>
      <c r="F156" s="28"/>
      <c r="G156" s="28"/>
      <c r="H156" s="27"/>
      <c r="I156" s="27"/>
      <c r="J156" s="29"/>
      <c r="K156" s="29"/>
    </row>
    <row r="157" customFormat="false" ht="15" hidden="false" customHeight="true" outlineLevel="0" collapsed="false">
      <c r="B157" s="27"/>
      <c r="C157" s="27"/>
      <c r="D157" s="27"/>
      <c r="E157" s="27"/>
      <c r="F157" s="28"/>
      <c r="G157" s="28"/>
      <c r="H157" s="27"/>
      <c r="I157" s="27"/>
      <c r="J157" s="29"/>
      <c r="K157" s="29"/>
    </row>
    <row r="158" customFormat="false" ht="15" hidden="false" customHeight="true" outlineLevel="0" collapsed="false">
      <c r="B158" s="27"/>
      <c r="C158" s="27"/>
      <c r="D158" s="27"/>
      <c r="E158" s="27"/>
      <c r="F158" s="28"/>
      <c r="G158" s="28"/>
      <c r="H158" s="27"/>
      <c r="I158" s="27"/>
      <c r="J158" s="29"/>
      <c r="K158" s="29"/>
    </row>
    <row r="159" customFormat="false" ht="15" hidden="false" customHeight="true" outlineLevel="0" collapsed="false">
      <c r="B159" s="27"/>
      <c r="C159" s="27"/>
      <c r="D159" s="27"/>
      <c r="E159" s="27"/>
      <c r="F159" s="28"/>
      <c r="G159" s="28"/>
      <c r="H159" s="27"/>
      <c r="I159" s="27"/>
      <c r="J159" s="29"/>
      <c r="K159" s="29"/>
    </row>
    <row r="160" customFormat="false" ht="15" hidden="false" customHeight="true" outlineLevel="0" collapsed="false">
      <c r="B160" s="27"/>
      <c r="C160" s="27"/>
      <c r="D160" s="27"/>
      <c r="E160" s="27"/>
      <c r="F160" s="28"/>
      <c r="G160" s="28"/>
      <c r="H160" s="27"/>
      <c r="I160" s="27"/>
      <c r="J160" s="29"/>
      <c r="K160" s="29"/>
    </row>
    <row r="161" customFormat="false" ht="15" hidden="false" customHeight="true" outlineLevel="0" collapsed="false">
      <c r="B161" s="27"/>
      <c r="C161" s="27"/>
      <c r="D161" s="27"/>
      <c r="E161" s="27"/>
      <c r="F161" s="28"/>
      <c r="G161" s="28"/>
      <c r="H161" s="27"/>
      <c r="I161" s="27"/>
      <c r="J161" s="29"/>
      <c r="K161" s="29"/>
    </row>
    <row r="162" customFormat="false" ht="15" hidden="false" customHeight="true" outlineLevel="0" collapsed="false">
      <c r="B162" s="27"/>
      <c r="C162" s="27"/>
      <c r="D162" s="27"/>
      <c r="E162" s="27"/>
      <c r="F162" s="28"/>
      <c r="G162" s="28"/>
      <c r="H162" s="27"/>
      <c r="I162" s="27"/>
      <c r="J162" s="29"/>
      <c r="K162" s="29"/>
    </row>
    <row r="163" customFormat="false" ht="15" hidden="false" customHeight="true" outlineLevel="0" collapsed="false">
      <c r="B163" s="27"/>
      <c r="C163" s="27"/>
      <c r="D163" s="27"/>
      <c r="E163" s="27"/>
      <c r="F163" s="28"/>
      <c r="G163" s="28"/>
      <c r="H163" s="27"/>
      <c r="I163" s="27"/>
      <c r="J163" s="29"/>
      <c r="K163" s="29"/>
    </row>
    <row r="164" customFormat="false" ht="15" hidden="false" customHeight="true" outlineLevel="0" collapsed="false">
      <c r="B164" s="27"/>
      <c r="C164" s="27"/>
      <c r="D164" s="27"/>
      <c r="E164" s="27"/>
      <c r="F164" s="28"/>
      <c r="G164" s="28"/>
      <c r="H164" s="27"/>
      <c r="I164" s="27"/>
      <c r="J164" s="29"/>
      <c r="K164" s="29"/>
    </row>
    <row r="165" customFormat="false" ht="15" hidden="false" customHeight="true" outlineLevel="0" collapsed="false">
      <c r="B165" s="27"/>
      <c r="C165" s="27"/>
      <c r="D165" s="27"/>
      <c r="E165" s="27"/>
      <c r="F165" s="28"/>
      <c r="G165" s="28"/>
      <c r="H165" s="27"/>
      <c r="I165" s="27"/>
      <c r="J165" s="29"/>
      <c r="K165" s="29"/>
    </row>
    <row r="166" customFormat="false" ht="15" hidden="false" customHeight="true" outlineLevel="0" collapsed="false">
      <c r="B166" s="27"/>
      <c r="C166" s="27"/>
      <c r="D166" s="27"/>
      <c r="E166" s="27"/>
      <c r="F166" s="28"/>
      <c r="G166" s="28"/>
      <c r="H166" s="27"/>
      <c r="I166" s="27"/>
      <c r="J166" s="29"/>
      <c r="K166" s="29"/>
    </row>
    <row r="167" customFormat="false" ht="15" hidden="false" customHeight="true" outlineLevel="0" collapsed="false">
      <c r="B167" s="27"/>
      <c r="C167" s="27"/>
      <c r="D167" s="27"/>
      <c r="E167" s="27"/>
      <c r="F167" s="28"/>
      <c r="G167" s="28"/>
      <c r="H167" s="27"/>
      <c r="I167" s="27"/>
      <c r="J167" s="29"/>
      <c r="K167" s="29"/>
    </row>
    <row r="168" customFormat="false" ht="15" hidden="false" customHeight="true" outlineLevel="0" collapsed="false">
      <c r="B168" s="27"/>
      <c r="C168" s="27"/>
      <c r="D168" s="27"/>
      <c r="E168" s="27"/>
      <c r="F168" s="28"/>
      <c r="G168" s="28"/>
      <c r="H168" s="27"/>
      <c r="I168" s="27"/>
      <c r="J168" s="29"/>
      <c r="K168" s="29"/>
    </row>
    <row r="169" customFormat="false" ht="15" hidden="false" customHeight="true" outlineLevel="0" collapsed="false">
      <c r="B169" s="27"/>
      <c r="C169" s="27"/>
      <c r="D169" s="27"/>
      <c r="E169" s="27"/>
      <c r="F169" s="28"/>
      <c r="G169" s="28"/>
      <c r="H169" s="27"/>
      <c r="I169" s="27"/>
      <c r="J169" s="29"/>
      <c r="K169" s="29"/>
    </row>
    <row r="170" customFormat="false" ht="15" hidden="false" customHeight="true" outlineLevel="0" collapsed="false">
      <c r="B170" s="27"/>
      <c r="C170" s="27"/>
      <c r="D170" s="27"/>
      <c r="E170" s="27"/>
      <c r="F170" s="28"/>
      <c r="G170" s="28"/>
      <c r="H170" s="27"/>
      <c r="I170" s="27"/>
      <c r="J170" s="29"/>
      <c r="K170" s="29"/>
    </row>
    <row r="171" customFormat="false" ht="15" hidden="false" customHeight="true" outlineLevel="0" collapsed="false">
      <c r="B171" s="27"/>
      <c r="C171" s="27"/>
      <c r="D171" s="27"/>
      <c r="E171" s="27"/>
      <c r="F171" s="28"/>
      <c r="G171" s="28"/>
      <c r="H171" s="27"/>
      <c r="I171" s="27"/>
      <c r="J171" s="29"/>
      <c r="K171" s="29"/>
    </row>
    <row r="172" customFormat="false" ht="15" hidden="false" customHeight="true" outlineLevel="0" collapsed="false">
      <c r="B172" s="27"/>
      <c r="C172" s="27"/>
      <c r="D172" s="27"/>
      <c r="E172" s="27"/>
      <c r="F172" s="28"/>
      <c r="G172" s="28"/>
      <c r="H172" s="27"/>
      <c r="I172" s="27"/>
      <c r="J172" s="29"/>
      <c r="K172" s="29"/>
    </row>
    <row r="173" customFormat="false" ht="15" hidden="false" customHeight="true" outlineLevel="0" collapsed="false">
      <c r="B173" s="27"/>
      <c r="C173" s="27"/>
      <c r="D173" s="27"/>
      <c r="E173" s="27"/>
      <c r="F173" s="28"/>
      <c r="G173" s="28"/>
      <c r="H173" s="27"/>
      <c r="I173" s="27"/>
      <c r="J173" s="29"/>
      <c r="K173" s="29"/>
    </row>
    <row r="174" customFormat="false" ht="15" hidden="false" customHeight="true" outlineLevel="0" collapsed="false">
      <c r="B174" s="27"/>
      <c r="C174" s="27"/>
      <c r="D174" s="27"/>
      <c r="E174" s="27"/>
      <c r="F174" s="28"/>
      <c r="G174" s="28"/>
      <c r="H174" s="27"/>
      <c r="I174" s="27"/>
      <c r="J174" s="29"/>
      <c r="K174" s="29"/>
    </row>
    <row r="175" customFormat="false" ht="15" hidden="false" customHeight="true" outlineLevel="0" collapsed="false">
      <c r="B175" s="27"/>
      <c r="C175" s="27"/>
      <c r="D175" s="27"/>
      <c r="E175" s="27"/>
      <c r="F175" s="28"/>
      <c r="G175" s="28"/>
      <c r="H175" s="27"/>
      <c r="I175" s="27"/>
      <c r="J175" s="29"/>
      <c r="K175" s="29"/>
    </row>
    <row r="176" customFormat="false" ht="15" hidden="false" customHeight="true" outlineLevel="0" collapsed="false">
      <c r="B176" s="27"/>
      <c r="C176" s="27"/>
      <c r="D176" s="27"/>
      <c r="E176" s="27"/>
      <c r="F176" s="28"/>
      <c r="G176" s="28"/>
      <c r="H176" s="27"/>
      <c r="I176" s="27"/>
      <c r="J176" s="29"/>
      <c r="K176" s="29"/>
    </row>
    <row r="177" customFormat="false" ht="15" hidden="false" customHeight="true" outlineLevel="0" collapsed="false">
      <c r="B177" s="27"/>
      <c r="C177" s="27"/>
      <c r="D177" s="27"/>
      <c r="E177" s="27"/>
      <c r="F177" s="28"/>
      <c r="G177" s="28"/>
      <c r="H177" s="27"/>
      <c r="I177" s="27"/>
      <c r="J177" s="29"/>
      <c r="K177" s="29"/>
    </row>
    <row r="178" customFormat="false" ht="15" hidden="false" customHeight="true" outlineLevel="0" collapsed="false">
      <c r="B178" s="27"/>
      <c r="C178" s="27"/>
      <c r="D178" s="27"/>
      <c r="E178" s="27"/>
      <c r="F178" s="28"/>
      <c r="G178" s="28"/>
      <c r="H178" s="27"/>
      <c r="I178" s="27"/>
      <c r="J178" s="29"/>
      <c r="K178" s="29"/>
    </row>
    <row r="179" customFormat="false" ht="15" hidden="false" customHeight="true" outlineLevel="0" collapsed="false">
      <c r="B179" s="27"/>
      <c r="C179" s="27"/>
      <c r="D179" s="27"/>
      <c r="E179" s="27"/>
      <c r="F179" s="28"/>
      <c r="G179" s="28"/>
      <c r="H179" s="27"/>
      <c r="I179" s="27"/>
      <c r="J179" s="29"/>
      <c r="K179" s="29"/>
    </row>
    <row r="180" customFormat="false" ht="15" hidden="false" customHeight="true" outlineLevel="0" collapsed="false">
      <c r="B180" s="27"/>
      <c r="C180" s="27"/>
      <c r="D180" s="27"/>
      <c r="E180" s="27"/>
      <c r="F180" s="28"/>
      <c r="G180" s="28"/>
      <c r="H180" s="27"/>
      <c r="I180" s="27"/>
      <c r="J180" s="29"/>
      <c r="K180" s="29"/>
    </row>
    <row r="181" customFormat="false" ht="15" hidden="false" customHeight="true" outlineLevel="0" collapsed="false">
      <c r="B181" s="27"/>
      <c r="C181" s="27"/>
      <c r="D181" s="27"/>
      <c r="E181" s="27"/>
      <c r="F181" s="28"/>
      <c r="G181" s="28"/>
      <c r="H181" s="27"/>
      <c r="I181" s="27"/>
      <c r="J181" s="29"/>
      <c r="K181" s="29"/>
    </row>
    <row r="182" customFormat="false" ht="15" hidden="false" customHeight="true" outlineLevel="0" collapsed="false">
      <c r="B182" s="27"/>
      <c r="C182" s="27"/>
      <c r="D182" s="27"/>
      <c r="E182" s="27"/>
      <c r="F182" s="28"/>
      <c r="G182" s="28"/>
      <c r="H182" s="27"/>
      <c r="I182" s="27"/>
      <c r="J182" s="29"/>
      <c r="K182" s="29"/>
    </row>
    <row r="183" customFormat="false" ht="15" hidden="false" customHeight="true" outlineLevel="0" collapsed="false">
      <c r="B183" s="27"/>
      <c r="C183" s="27"/>
      <c r="D183" s="27"/>
      <c r="E183" s="27"/>
      <c r="F183" s="28"/>
      <c r="G183" s="28"/>
      <c r="H183" s="27"/>
      <c r="I183" s="27"/>
      <c r="J183" s="29"/>
      <c r="K183" s="29"/>
    </row>
    <row r="184" customFormat="false" ht="15" hidden="false" customHeight="true" outlineLevel="0" collapsed="false">
      <c r="B184" s="27"/>
      <c r="C184" s="27"/>
      <c r="D184" s="27"/>
      <c r="E184" s="27"/>
      <c r="F184" s="28"/>
      <c r="G184" s="28"/>
      <c r="H184" s="27"/>
      <c r="I184" s="27"/>
      <c r="J184" s="29"/>
      <c r="K184" s="29"/>
    </row>
    <row r="185" customFormat="false" ht="15" hidden="false" customHeight="true" outlineLevel="0" collapsed="false">
      <c r="B185" s="27"/>
      <c r="C185" s="27"/>
      <c r="D185" s="27"/>
      <c r="E185" s="27"/>
      <c r="F185" s="28"/>
      <c r="G185" s="28"/>
      <c r="H185" s="27"/>
      <c r="I185" s="27"/>
      <c r="J185" s="29"/>
      <c r="K185" s="29"/>
    </row>
    <row r="186" customFormat="false" ht="15" hidden="false" customHeight="true" outlineLevel="0" collapsed="false">
      <c r="B186" s="27"/>
      <c r="C186" s="27"/>
      <c r="D186" s="27"/>
      <c r="E186" s="27"/>
      <c r="F186" s="28"/>
      <c r="G186" s="28"/>
      <c r="H186" s="27"/>
      <c r="I186" s="27"/>
      <c r="J186" s="29"/>
      <c r="K186" s="29"/>
    </row>
    <row r="187" customFormat="false" ht="15" hidden="false" customHeight="true" outlineLevel="0" collapsed="false">
      <c r="B187" s="27"/>
      <c r="C187" s="27"/>
      <c r="D187" s="27"/>
      <c r="E187" s="27"/>
      <c r="F187" s="28"/>
      <c r="G187" s="28"/>
      <c r="H187" s="27"/>
      <c r="I187" s="27"/>
      <c r="J187" s="29"/>
      <c r="K187" s="29"/>
    </row>
    <row r="188" customFormat="false" ht="15" hidden="false" customHeight="true" outlineLevel="0" collapsed="false">
      <c r="B188" s="27"/>
      <c r="C188" s="27"/>
      <c r="D188" s="27"/>
      <c r="E188" s="27"/>
      <c r="F188" s="28"/>
      <c r="G188" s="28"/>
      <c r="H188" s="27"/>
      <c r="I188" s="27"/>
      <c r="J188" s="29"/>
      <c r="K188" s="29"/>
    </row>
    <row r="189" customFormat="false" ht="15" hidden="false" customHeight="true" outlineLevel="0" collapsed="false">
      <c r="B189" s="27"/>
      <c r="C189" s="27"/>
      <c r="D189" s="27"/>
      <c r="E189" s="27"/>
      <c r="F189" s="28"/>
      <c r="G189" s="28"/>
      <c r="H189" s="27"/>
      <c r="I189" s="27"/>
      <c r="J189" s="29"/>
      <c r="K189" s="29"/>
    </row>
    <row r="190" customFormat="false" ht="15" hidden="false" customHeight="true" outlineLevel="0" collapsed="false">
      <c r="B190" s="27"/>
      <c r="C190" s="27"/>
      <c r="D190" s="27"/>
      <c r="E190" s="27"/>
      <c r="F190" s="28"/>
      <c r="G190" s="28"/>
      <c r="H190" s="27"/>
      <c r="I190" s="27"/>
      <c r="J190" s="29"/>
      <c r="K190" s="29"/>
    </row>
    <row r="191" customFormat="false" ht="15" hidden="false" customHeight="true" outlineLevel="0" collapsed="false">
      <c r="B191" s="27"/>
      <c r="C191" s="27"/>
      <c r="D191" s="27"/>
      <c r="E191" s="27"/>
      <c r="F191" s="28"/>
      <c r="G191" s="28"/>
      <c r="H191" s="27"/>
      <c r="I191" s="27"/>
      <c r="J191" s="29"/>
      <c r="K191" s="29"/>
    </row>
    <row r="192" customFormat="false" ht="15" hidden="false" customHeight="true" outlineLevel="0" collapsed="false">
      <c r="B192" s="27"/>
      <c r="C192" s="27"/>
      <c r="D192" s="27"/>
      <c r="E192" s="27"/>
      <c r="F192" s="28"/>
      <c r="G192" s="28"/>
      <c r="H192" s="27"/>
      <c r="I192" s="27"/>
      <c r="J192" s="29"/>
      <c r="K192" s="29"/>
    </row>
    <row r="193" customFormat="false" ht="15" hidden="false" customHeight="true" outlineLevel="0" collapsed="false">
      <c r="B193" s="27"/>
      <c r="C193" s="27"/>
      <c r="D193" s="27"/>
      <c r="E193" s="27"/>
      <c r="F193" s="28"/>
      <c r="G193" s="28"/>
      <c r="H193" s="27"/>
      <c r="I193" s="27"/>
      <c r="J193" s="29"/>
      <c r="K193" s="29"/>
    </row>
    <row r="194" customFormat="false" ht="15" hidden="false" customHeight="true" outlineLevel="0" collapsed="false">
      <c r="B194" s="27"/>
      <c r="C194" s="27"/>
      <c r="D194" s="27"/>
      <c r="E194" s="27"/>
      <c r="F194" s="28"/>
      <c r="G194" s="28"/>
      <c r="H194" s="27"/>
      <c r="I194" s="27"/>
      <c r="J194" s="29"/>
      <c r="K194" s="29"/>
    </row>
    <row r="195" customFormat="false" ht="15" hidden="false" customHeight="true" outlineLevel="0" collapsed="false">
      <c r="B195" s="27"/>
      <c r="C195" s="27"/>
      <c r="D195" s="27"/>
      <c r="E195" s="27"/>
      <c r="F195" s="28"/>
      <c r="G195" s="28"/>
      <c r="H195" s="27"/>
      <c r="I195" s="27"/>
      <c r="J195" s="29"/>
      <c r="K195" s="29"/>
    </row>
    <row r="196" customFormat="false" ht="15" hidden="false" customHeight="true" outlineLevel="0" collapsed="false">
      <c r="B196" s="27"/>
      <c r="C196" s="27"/>
      <c r="D196" s="27"/>
      <c r="E196" s="27"/>
      <c r="F196" s="28"/>
      <c r="G196" s="28"/>
      <c r="H196" s="27"/>
      <c r="I196" s="27"/>
      <c r="J196" s="29"/>
      <c r="K196" s="29"/>
    </row>
    <row r="197" customFormat="false" ht="15" hidden="false" customHeight="true" outlineLevel="0" collapsed="false">
      <c r="B197" s="27"/>
      <c r="C197" s="27"/>
      <c r="D197" s="27"/>
      <c r="E197" s="27"/>
      <c r="F197" s="28"/>
      <c r="G197" s="28"/>
      <c r="H197" s="27"/>
      <c r="I197" s="27"/>
      <c r="J197" s="29"/>
      <c r="K197" s="29"/>
    </row>
    <row r="198" customFormat="false" ht="15" hidden="false" customHeight="true" outlineLevel="0" collapsed="false">
      <c r="B198" s="27"/>
      <c r="C198" s="27"/>
      <c r="D198" s="27"/>
      <c r="E198" s="27"/>
      <c r="F198" s="28"/>
      <c r="G198" s="28"/>
      <c r="H198" s="27"/>
      <c r="I198" s="27"/>
      <c r="J198" s="29"/>
      <c r="K198" s="29"/>
    </row>
    <row r="199" customFormat="false" ht="15" hidden="false" customHeight="true" outlineLevel="0" collapsed="false">
      <c r="B199" s="27"/>
      <c r="C199" s="27"/>
      <c r="D199" s="27"/>
      <c r="E199" s="27"/>
      <c r="F199" s="28"/>
      <c r="G199" s="28"/>
      <c r="H199" s="27"/>
      <c r="I199" s="27"/>
      <c r="J199" s="29"/>
      <c r="K199" s="29"/>
    </row>
  </sheetData>
  <mergeCells count="2">
    <mergeCell ref="B2:J2"/>
    <mergeCell ref="B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4" min="3" style="1" width="18"/>
    <col collapsed="false" customWidth="true" hidden="false" outlineLevel="0" max="5" min="5" style="1" width="25"/>
    <col collapsed="false" customWidth="true" hidden="false" outlineLevel="0" max="7" min="6" style="1" width="15"/>
    <col collapsed="false" customWidth="true" hidden="false" outlineLevel="0" max="8" min="8" style="1" width="12"/>
    <col collapsed="false" customWidth="true" hidden="false" outlineLevel="0" max="9" min="9" style="1" width="30"/>
  </cols>
  <sheetData>
    <row r="2" customFormat="false" ht="17.25" hidden="false" customHeight="true" outlineLevel="0" collapsed="false">
      <c r="B2" s="24" t="s">
        <v>540</v>
      </c>
      <c r="C2" s="24"/>
      <c r="D2" s="24"/>
      <c r="E2" s="24"/>
      <c r="F2" s="24"/>
      <c r="G2" s="24"/>
      <c r="H2" s="24"/>
      <c r="I2" s="24"/>
    </row>
    <row r="4" customFormat="false" ht="15" hidden="false" customHeight="true" outlineLevel="0" collapsed="false">
      <c r="B4" s="25" t="s">
        <v>541</v>
      </c>
      <c r="C4" s="25"/>
      <c r="D4" s="25"/>
      <c r="E4" s="25"/>
      <c r="F4" s="25"/>
      <c r="G4" s="25"/>
      <c r="H4" s="25"/>
      <c r="I4" s="25"/>
    </row>
    <row r="6" customFormat="false" ht="15" hidden="false" customHeight="true" outlineLevel="0" collapsed="false">
      <c r="B6" s="30" t="s">
        <v>542</v>
      </c>
      <c r="C6" s="30"/>
      <c r="D6" s="30"/>
      <c r="E6" s="30"/>
      <c r="F6" s="30"/>
      <c r="G6" s="30"/>
      <c r="H6" s="30"/>
      <c r="I6" s="30"/>
    </row>
    <row r="8" customFormat="false" ht="27.75" hidden="false" customHeight="true" outlineLevel="0" collapsed="false">
      <c r="B8" s="26" t="s">
        <v>127</v>
      </c>
      <c r="C8" s="26" t="s">
        <v>543</v>
      </c>
      <c r="D8" s="26" t="s">
        <v>129</v>
      </c>
      <c r="E8" s="26" t="s">
        <v>544</v>
      </c>
      <c r="F8" s="26" t="s">
        <v>545</v>
      </c>
      <c r="G8" s="26" t="s">
        <v>546</v>
      </c>
      <c r="H8" s="26" t="s">
        <v>547</v>
      </c>
      <c r="I8" s="26" t="s">
        <v>165</v>
      </c>
    </row>
    <row r="10" customFormat="false" ht="15" hidden="false" customHeight="true" outlineLevel="0" collapsed="false">
      <c r="B10" s="29"/>
      <c r="C10" s="29" t="s">
        <v>548</v>
      </c>
      <c r="D10" s="29" t="s">
        <v>549</v>
      </c>
      <c r="E10" s="29"/>
      <c r="F10" s="29"/>
      <c r="G10" s="29"/>
      <c r="H10" s="31"/>
      <c r="I10" s="29"/>
    </row>
    <row r="11" customFormat="false" ht="15" hidden="false" customHeight="true" outlineLevel="0" collapsed="false">
      <c r="B11" s="29"/>
      <c r="C11" s="29" t="s">
        <v>550</v>
      </c>
      <c r="D11" s="29" t="s">
        <v>136</v>
      </c>
      <c r="E11" s="29"/>
      <c r="F11" s="29"/>
      <c r="G11" s="29"/>
      <c r="H11" s="31"/>
      <c r="I11" s="29"/>
    </row>
    <row r="12" customFormat="false" ht="15" hidden="false" customHeight="true" outlineLevel="0" collapsed="false">
      <c r="B12" s="29"/>
      <c r="C12" s="29" t="s">
        <v>551</v>
      </c>
      <c r="D12" s="29" t="s">
        <v>137</v>
      </c>
      <c r="E12" s="29"/>
      <c r="F12" s="29"/>
      <c r="G12" s="29"/>
      <c r="H12" s="31"/>
      <c r="I12" s="29"/>
    </row>
    <row r="13" customFormat="false" ht="15" hidden="false" customHeight="true" outlineLevel="0" collapsed="false">
      <c r="B13" s="29"/>
      <c r="C13" s="29"/>
      <c r="D13" s="29"/>
      <c r="E13" s="29"/>
      <c r="F13" s="29"/>
      <c r="G13" s="29"/>
      <c r="H13" s="29"/>
      <c r="I13" s="29"/>
    </row>
    <row r="14" customFormat="false" ht="15" hidden="false" customHeight="true" outlineLevel="0" collapsed="false">
      <c r="B14" s="29"/>
      <c r="C14" s="29"/>
      <c r="D14" s="29"/>
      <c r="E14" s="29"/>
      <c r="F14" s="29"/>
      <c r="G14" s="29"/>
      <c r="H14" s="29"/>
      <c r="I14" s="29"/>
    </row>
    <row r="15" customFormat="false" ht="15" hidden="false" customHeight="true" outlineLevel="0" collapsed="false">
      <c r="B15" s="29"/>
      <c r="C15" s="29"/>
      <c r="D15" s="29"/>
      <c r="E15" s="29"/>
      <c r="F15" s="29"/>
      <c r="G15" s="29"/>
      <c r="H15" s="29"/>
      <c r="I15" s="29"/>
    </row>
    <row r="16" customFormat="false" ht="15" hidden="false" customHeight="true" outlineLevel="0" collapsed="false">
      <c r="B16" s="29"/>
      <c r="C16" s="29"/>
      <c r="D16" s="29"/>
      <c r="E16" s="29"/>
      <c r="F16" s="29"/>
      <c r="G16" s="29"/>
      <c r="H16" s="29"/>
      <c r="I16" s="29"/>
    </row>
    <row r="17" customFormat="false" ht="15" hidden="false" customHeight="true" outlineLevel="0" collapsed="false">
      <c r="B17" s="29"/>
      <c r="C17" s="29"/>
      <c r="D17" s="29"/>
      <c r="E17" s="29"/>
      <c r="F17" s="29"/>
      <c r="G17" s="29"/>
      <c r="H17" s="29"/>
      <c r="I17" s="29"/>
    </row>
    <row r="18" customFormat="false" ht="15" hidden="false" customHeight="true" outlineLevel="0" collapsed="false">
      <c r="B18" s="29"/>
      <c r="C18" s="29"/>
      <c r="D18" s="29"/>
      <c r="E18" s="29"/>
      <c r="F18" s="29"/>
      <c r="G18" s="29"/>
      <c r="H18" s="29"/>
      <c r="I18" s="29"/>
    </row>
    <row r="19" customFormat="false" ht="15" hidden="false" customHeight="true" outlineLevel="0" collapsed="false">
      <c r="B19" s="29"/>
      <c r="C19" s="29"/>
      <c r="D19" s="29"/>
      <c r="E19" s="29"/>
      <c r="F19" s="29"/>
      <c r="G19" s="29"/>
      <c r="H19" s="29"/>
      <c r="I19" s="29"/>
    </row>
    <row r="20" customFormat="false" ht="15" hidden="false" customHeight="true" outlineLevel="0" collapsed="false">
      <c r="B20" s="29"/>
      <c r="C20" s="29"/>
      <c r="D20" s="29"/>
      <c r="E20" s="29"/>
      <c r="F20" s="29"/>
      <c r="G20" s="29"/>
      <c r="H20" s="29"/>
      <c r="I20" s="29"/>
    </row>
    <row r="21" customFormat="false" ht="15" hidden="false" customHeight="true" outlineLevel="0" collapsed="false">
      <c r="B21" s="29"/>
      <c r="C21" s="29"/>
      <c r="D21" s="29"/>
      <c r="E21" s="29"/>
      <c r="F21" s="29"/>
      <c r="G21" s="29"/>
      <c r="H21" s="29"/>
      <c r="I21" s="29"/>
    </row>
    <row r="22" customFormat="false" ht="15" hidden="false" customHeight="true" outlineLevel="0" collapsed="false">
      <c r="B22" s="29"/>
      <c r="C22" s="29"/>
      <c r="D22" s="29"/>
      <c r="E22" s="29"/>
      <c r="F22" s="29"/>
      <c r="G22" s="29"/>
      <c r="H22" s="29"/>
      <c r="I22" s="29"/>
    </row>
    <row r="25" customFormat="false" ht="15" hidden="false" customHeight="true" outlineLevel="0" collapsed="false">
      <c r="B25" s="30" t="s">
        <v>552</v>
      </c>
      <c r="C25" s="30"/>
      <c r="D25" s="30"/>
      <c r="E25" s="30"/>
      <c r="F25" s="30"/>
      <c r="G25" s="30"/>
      <c r="H25" s="30"/>
      <c r="I25" s="30"/>
    </row>
    <row r="27" customFormat="false" ht="27.75" hidden="false" customHeight="true" outlineLevel="0" collapsed="false">
      <c r="B27" s="26" t="s">
        <v>553</v>
      </c>
      <c r="C27" s="26" t="s">
        <v>554</v>
      </c>
      <c r="D27" s="26" t="s">
        <v>543</v>
      </c>
      <c r="E27" s="26" t="s">
        <v>129</v>
      </c>
      <c r="F27" s="26" t="s">
        <v>544</v>
      </c>
      <c r="G27" s="26" t="s">
        <v>545</v>
      </c>
      <c r="H27" s="26" t="s">
        <v>555</v>
      </c>
      <c r="I27" s="26" t="s">
        <v>165</v>
      </c>
    </row>
    <row r="29" customFormat="false" ht="15" hidden="false" customHeight="true" outlineLevel="0" collapsed="false">
      <c r="B29" s="29"/>
      <c r="C29" s="29"/>
      <c r="D29" s="29"/>
      <c r="E29" s="29"/>
      <c r="F29" s="29"/>
      <c r="G29" s="29"/>
      <c r="H29" s="32"/>
      <c r="I29" s="29"/>
    </row>
    <row r="30" customFormat="false" ht="15" hidden="false" customHeight="true" outlineLevel="0" collapsed="false">
      <c r="B30" s="29"/>
      <c r="C30" s="29"/>
      <c r="D30" s="29"/>
      <c r="E30" s="29"/>
      <c r="F30" s="29"/>
      <c r="G30" s="29"/>
      <c r="H30" s="32"/>
      <c r="I30" s="29"/>
    </row>
    <row r="31" customFormat="false" ht="15" hidden="false" customHeight="true" outlineLevel="0" collapsed="false">
      <c r="B31" s="29"/>
      <c r="C31" s="29"/>
      <c r="D31" s="29"/>
      <c r="E31" s="29"/>
      <c r="F31" s="29"/>
      <c r="G31" s="29"/>
      <c r="H31" s="32"/>
      <c r="I31" s="29"/>
    </row>
    <row r="32" customFormat="false" ht="15" hidden="false" customHeight="true" outlineLevel="0" collapsed="false">
      <c r="B32" s="29"/>
      <c r="C32" s="29"/>
      <c r="D32" s="29"/>
      <c r="E32" s="29"/>
      <c r="F32" s="29"/>
      <c r="G32" s="29"/>
      <c r="H32" s="32"/>
      <c r="I32" s="29"/>
    </row>
    <row r="33" customFormat="false" ht="15" hidden="false" customHeight="true" outlineLevel="0" collapsed="false">
      <c r="B33" s="29"/>
      <c r="C33" s="29"/>
      <c r="D33" s="29"/>
      <c r="E33" s="29"/>
      <c r="F33" s="29"/>
      <c r="G33" s="29"/>
      <c r="H33" s="32"/>
      <c r="I33" s="29"/>
    </row>
    <row r="34" customFormat="false" ht="15" hidden="false" customHeight="true" outlineLevel="0" collapsed="false">
      <c r="B34" s="29"/>
      <c r="C34" s="29"/>
      <c r="D34" s="29"/>
      <c r="E34" s="29"/>
      <c r="F34" s="29"/>
      <c r="G34" s="29"/>
      <c r="H34" s="32"/>
      <c r="I34" s="29"/>
    </row>
    <row r="35" customFormat="false" ht="15" hidden="false" customHeight="true" outlineLevel="0" collapsed="false">
      <c r="B35" s="29"/>
      <c r="C35" s="29"/>
      <c r="D35" s="29"/>
      <c r="E35" s="29"/>
      <c r="F35" s="29"/>
      <c r="G35" s="29"/>
      <c r="H35" s="32"/>
      <c r="I35" s="29"/>
    </row>
    <row r="36" customFormat="false" ht="15" hidden="false" customHeight="true" outlineLevel="0" collapsed="false">
      <c r="B36" s="29"/>
      <c r="C36" s="29"/>
      <c r="D36" s="29"/>
      <c r="E36" s="29"/>
      <c r="F36" s="29"/>
      <c r="G36" s="29"/>
      <c r="H36" s="32"/>
      <c r="I36" s="29"/>
    </row>
    <row r="37" customFormat="false" ht="15" hidden="false" customHeight="true" outlineLevel="0" collapsed="false">
      <c r="B37" s="29"/>
      <c r="C37" s="29"/>
      <c r="D37" s="29"/>
      <c r="E37" s="29"/>
      <c r="F37" s="29"/>
      <c r="G37" s="29"/>
      <c r="H37" s="32"/>
      <c r="I37" s="29"/>
    </row>
    <row r="38" customFormat="false" ht="15" hidden="false" customHeight="true" outlineLevel="0" collapsed="false">
      <c r="B38" s="29"/>
      <c r="C38" s="29"/>
      <c r="D38" s="29"/>
      <c r="E38" s="29"/>
      <c r="F38" s="29"/>
      <c r="G38" s="29"/>
      <c r="H38" s="32"/>
      <c r="I38" s="29"/>
    </row>
    <row r="39" customFormat="false" ht="15" hidden="false" customHeight="true" outlineLevel="0" collapsed="false">
      <c r="B39" s="29"/>
      <c r="C39" s="29"/>
      <c r="D39" s="29"/>
      <c r="E39" s="29"/>
      <c r="F39" s="29"/>
      <c r="G39" s="29"/>
      <c r="H39" s="32"/>
      <c r="I39" s="29"/>
    </row>
    <row r="40" customFormat="false" ht="15" hidden="false" customHeight="true" outlineLevel="0" collapsed="false">
      <c r="B40" s="29"/>
      <c r="C40" s="29"/>
      <c r="D40" s="29"/>
      <c r="E40" s="29"/>
      <c r="F40" s="29"/>
      <c r="G40" s="29"/>
      <c r="H40" s="32"/>
      <c r="I40" s="29"/>
    </row>
    <row r="41" customFormat="false" ht="15" hidden="false" customHeight="true" outlineLevel="0" collapsed="false">
      <c r="B41" s="29"/>
      <c r="C41" s="29"/>
      <c r="D41" s="29"/>
      <c r="E41" s="29"/>
      <c r="F41" s="29"/>
      <c r="G41" s="29"/>
      <c r="H41" s="32"/>
      <c r="I41" s="29"/>
    </row>
    <row r="42" customFormat="false" ht="15" hidden="false" customHeight="true" outlineLevel="0" collapsed="false">
      <c r="B42" s="29"/>
      <c r="C42" s="29"/>
      <c r="D42" s="29"/>
      <c r="E42" s="29"/>
      <c r="F42" s="29"/>
      <c r="G42" s="29"/>
      <c r="H42" s="32"/>
      <c r="I42" s="29"/>
    </row>
    <row r="43" customFormat="false" ht="15" hidden="false" customHeight="true" outlineLevel="0" collapsed="false">
      <c r="B43" s="29"/>
      <c r="C43" s="29"/>
      <c r="D43" s="29"/>
      <c r="E43" s="29"/>
      <c r="F43" s="29"/>
      <c r="G43" s="29"/>
      <c r="H43" s="32"/>
      <c r="I43" s="29"/>
    </row>
  </sheetData>
  <mergeCells count="4">
    <mergeCell ref="B2:I2"/>
    <mergeCell ref="B4:I4"/>
    <mergeCell ref="B6:I6"/>
    <mergeCell ref="B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2025-10-29T10:40:46Z</dcterms:created>
  <dc:creator>openpyxl</dc:creator>
  <dc:description/>
  <dc:language>en-US</dc:language>
  <cp:lastModifiedBy/>
  <dcterms:modified xsi:type="dcterms:W3CDTF">2025-10-29T10:44:08Z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