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action 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Financial Statements" sheetId="5" state="visible" r:id="rId5"/>
    <sheet xmlns:r="http://schemas.openxmlformats.org/officeDocument/2006/relationships" name="Returns Analysis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Distribution Waterf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m/d/yyyy"/>
    <numFmt numFmtId="166" formatCode="0.0x"/>
    <numFmt numFmtId="167" formatCode="0.0%"/>
    <numFmt numFmtId="168" formatCode="0.0"/>
  </numFmts>
  <fonts count="19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  <sz val="11"/>
    </font>
    <font>
      <color rgb="00008000"/>
    </font>
    <font>
      <b val="1"/>
      <color rgb="00008000"/>
    </font>
    <font>
      <b val="1"/>
      <sz val="14"/>
    </font>
    <font>
      <i val="1"/>
      <sz val="11"/>
    </font>
    <font>
      <color rgb="000000FF"/>
    </font>
    <font>
      <color rgb="00000000"/>
    </font>
    <font>
      <i val="1"/>
      <sz val="9"/>
    </font>
    <font>
      <i val="1"/>
      <color rgb="00008000"/>
    </font>
    <font>
      <b val="1"/>
    </font>
    <font>
      <b val="1"/>
      <color rgb="00FFFFFF"/>
    </font>
    <font>
      <b val="1"/>
      <i val="1"/>
    </font>
    <font>
      <b val="1"/>
      <color rgb="00FF0000"/>
    </font>
    <font>
      <b val="1"/>
      <color rgb="0000B050"/>
    </font>
    <font>
      <b val="1"/>
      <color rgb="0000B050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49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0" fontId="5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49" fontId="8" fillId="5" borderId="1" pivotButton="0" quotePrefix="0" xfId="0"/>
    <xf numFmtId="165" fontId="8" fillId="5" borderId="1" pivotButton="0" quotePrefix="0" xfId="0"/>
    <xf numFmtId="3" fontId="8" fillId="5" borderId="1" pivotButton="0" quotePrefix="0" xfId="0"/>
    <xf numFmtId="165" fontId="9" fillId="0" borderId="1" pivotButton="0" quotePrefix="0" xfId="0"/>
    <xf numFmtId="164" fontId="8" fillId="5" borderId="1" pivotButton="0" quotePrefix="0" xfId="0"/>
    <xf numFmtId="167" fontId="9" fillId="0" borderId="1" pivotButton="0" quotePrefix="0" xfId="0"/>
    <xf numFmtId="166" fontId="8" fillId="5" borderId="1" pivotButton="0" quotePrefix="0" xfId="0"/>
    <xf numFmtId="164" fontId="9" fillId="0" borderId="1" pivotButton="0" quotePrefix="0" xfId="0"/>
    <xf numFmtId="166" fontId="9" fillId="0" borderId="1" pivotButton="0" quotePrefix="0" xfId="0"/>
    <xf numFmtId="167" fontId="8" fillId="5" borderId="1" pivotButton="0" quotePrefix="0" xfId="0"/>
    <xf numFmtId="0" fontId="10" fillId="0" borderId="0" pivotButton="0" quotePrefix="0" xfId="0"/>
    <xf numFmtId="164" fontId="11" fillId="0" borderId="1" pivotButton="0" quotePrefix="0" xfId="0"/>
    <xf numFmtId="0" fontId="12" fillId="0" borderId="0" pivotButton="0" quotePrefix="0" xfId="0"/>
    <xf numFmtId="164" fontId="12" fillId="0" borderId="1" pivotButton="0" quotePrefix="0" xfId="0"/>
    <xf numFmtId="164" fontId="13" fillId="2" borderId="1" pivotButton="0" quotePrefix="0" xfId="0"/>
    <xf numFmtId="164" fontId="13" fillId="3" borderId="1" pivotButton="0" quotePrefix="0" xfId="0"/>
    <xf numFmtId="0" fontId="14" fillId="0" borderId="0" pivotButton="0" quotePrefix="0" xfId="0"/>
    <xf numFmtId="164" fontId="15" fillId="0" borderId="1" pivotButton="0" quotePrefix="0" xfId="0"/>
    <xf numFmtId="0" fontId="12" fillId="0" borderId="0" applyAlignment="1" pivotButton="0" quotePrefix="0" xfId="0">
      <alignment horizontal="center"/>
    </xf>
    <xf numFmtId="0" fontId="0" fillId="0" borderId="5" pivotButton="0" quotePrefix="0" xfId="0"/>
    <xf numFmtId="164" fontId="16" fillId="0" borderId="1" pivotButton="0" quotePrefix="0" xfId="0"/>
    <xf numFmtId="168" fontId="4" fillId="0" borderId="1" pivotButton="0" quotePrefix="0" xfId="0"/>
    <xf numFmtId="10" fontId="17" fillId="0" borderId="1" pivotButton="0" quotePrefix="0" xfId="0"/>
    <xf numFmtId="166" fontId="18" fillId="0" borderId="1" pivotButton="0" quotePrefix="0" xfId="0"/>
    <xf numFmtId="1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3" customWidth="1" min="4" max="4"/>
    <col width="35" customWidth="1" min="5" max="5"/>
    <col width="18" customWidth="1" min="6" max="6"/>
  </cols>
  <sheetData>
    <row r="2">
      <c r="B2" s="1" t="inlineStr">
        <is>
          <t>LEVERAGED BUYOUT MODEL</t>
        </is>
      </c>
    </row>
    <row r="3">
      <c r="B3" s="2" t="inlineStr">
        <is>
          <t>Executive Summary &amp; Investment Returns</t>
        </is>
      </c>
    </row>
    <row r="6">
      <c r="B6" s="3" t="inlineStr">
        <is>
          <t>COMPANY INFORMATION</t>
        </is>
      </c>
      <c r="C6" s="4" t="n"/>
      <c r="E6" s="5" t="inlineStr">
        <is>
          <t>RETURNS TO EQUITY</t>
        </is>
      </c>
      <c r="F6" s="4" t="n"/>
    </row>
    <row r="7">
      <c r="B7" t="inlineStr">
        <is>
          <t>Company Name:</t>
        </is>
      </c>
      <c r="C7" s="6">
        <f>'Transaction Assumptions'!C7</f>
        <v/>
      </c>
    </row>
    <row r="8">
      <c r="B8" t="inlineStr">
        <is>
          <t>Industry:</t>
        </is>
      </c>
      <c r="C8" s="6">
        <f>'Transaction Assumptions'!C8</f>
        <v/>
      </c>
      <c r="E8" t="inlineStr">
        <is>
          <t>Exit Enterprise Value</t>
        </is>
      </c>
      <c r="F8" s="13">
        <f>'Returns Analysis'!C35</f>
        <v/>
      </c>
    </row>
    <row r="9">
      <c r="B9" t="inlineStr">
        <is>
          <t>Transaction Date:</t>
        </is>
      </c>
      <c r="C9" s="14">
        <f>'Transaction Assumptions'!C9</f>
        <v/>
      </c>
      <c r="E9" t="inlineStr">
        <is>
          <t>Less: Net Debt at Exit</t>
        </is>
      </c>
      <c r="F9" s="13">
        <f>'Returns Analysis'!C36</f>
        <v/>
      </c>
    </row>
    <row r="10">
      <c r="B10" t="inlineStr">
        <is>
          <t>Exit Date (Assumed):</t>
        </is>
      </c>
      <c r="C10" s="14">
        <f>'Transaction Assumptions'!C10</f>
        <v/>
      </c>
      <c r="E10" t="inlineStr">
        <is>
          <t>Exit Equity Value</t>
        </is>
      </c>
      <c r="F10" s="13">
        <f>'Returns Analysis'!C37</f>
        <v/>
      </c>
    </row>
    <row r="12">
      <c r="E12" t="inlineStr">
        <is>
          <t>Initial Equity Investment</t>
        </is>
      </c>
      <c r="F12" s="13">
        <f>'Returns Analysis'!C15</f>
        <v/>
      </c>
    </row>
    <row r="13">
      <c r="B13" s="3" t="inlineStr">
        <is>
          <t>INVESTMENT SUMMARY</t>
        </is>
      </c>
      <c r="C13" s="4" t="n"/>
      <c r="E13" t="inlineStr">
        <is>
          <t>Ending Equity Value</t>
        </is>
      </c>
      <c r="F13" s="13">
        <f>'Returns Analysis'!C37</f>
        <v/>
      </c>
    </row>
    <row r="15">
      <c r="B15" t="inlineStr">
        <is>
          <t>Purchase Price (Enterprise Value)</t>
        </is>
      </c>
      <c r="C15" s="13">
        <f>'Sources &amp; Uses'!C21</f>
        <v/>
      </c>
      <c r="E15" t="inlineStr">
        <is>
          <t>Equity IRR to Sponsor</t>
        </is>
      </c>
      <c r="F15" s="9">
        <f>'Returns Analysis'!C42</f>
        <v/>
      </c>
    </row>
    <row r="16">
      <c r="B16" t="inlineStr">
        <is>
          <t>Total Debt</t>
        </is>
      </c>
      <c r="C16" s="13">
        <f>'Sources &amp; Uses'!C15</f>
        <v/>
      </c>
      <c r="E16" t="inlineStr">
        <is>
          <t>Equity Multiple (MOIC)</t>
        </is>
      </c>
      <c r="F16" s="10">
        <f>'Returns Analysis'!C43</f>
        <v/>
      </c>
    </row>
    <row r="17">
      <c r="B17" t="inlineStr">
        <is>
          <t>Sponsor Equity</t>
        </is>
      </c>
      <c r="C17" s="13">
        <f>'Sources &amp; Uses'!C17</f>
        <v/>
      </c>
      <c r="E17" t="inlineStr">
        <is>
          <t>Total Equity Cash Return</t>
        </is>
      </c>
      <c r="F17" s="13">
        <f>'Returns Analysis'!C44</f>
        <v/>
      </c>
    </row>
    <row r="18">
      <c r="B18" t="inlineStr">
        <is>
          <t>Management Rollover</t>
        </is>
      </c>
      <c r="C18" s="13">
        <f>'Sources &amp; Uses'!C18</f>
        <v/>
      </c>
      <c r="E18" t="inlineStr">
        <is>
          <t>Total % Return</t>
        </is>
      </c>
      <c r="F18" s="11">
        <f>'Returns Analysis'!C45</f>
        <v/>
      </c>
    </row>
    <row r="20">
      <c r="B20" t="inlineStr">
        <is>
          <t>Entry EV / EBITDA Multiple</t>
        </is>
      </c>
      <c r="C20" s="10">
        <f>'Transaction Assumptions'!C13</f>
        <v/>
      </c>
      <c r="E20" s="12" t="inlineStr">
        <is>
          <t>KEY CREDIT METRICS</t>
        </is>
      </c>
      <c r="F20" s="4" t="n"/>
    </row>
    <row r="21">
      <c r="B21" t="inlineStr">
        <is>
          <t>Entry Leverage (Debt / EBITDA)</t>
        </is>
      </c>
      <c r="C21" s="10">
        <f>'Transaction Assumptions'!C24</f>
        <v/>
      </c>
    </row>
    <row r="22">
      <c r="B22" t="inlineStr">
        <is>
          <t>Equity % of Purchase Price</t>
        </is>
      </c>
      <c r="C22" s="11">
        <f>C17/C15</f>
        <v/>
      </c>
      <c r="E22" t="inlineStr">
        <is>
          <t>Leverage at Entry (Debt/EBITDA)</t>
        </is>
      </c>
      <c r="F22" s="10">
        <f>'Transaction Assumptions'!C24</f>
        <v/>
      </c>
    </row>
    <row r="23">
      <c r="E23" t="inlineStr">
        <is>
          <t>Leverage at Exit (Debt/EBITDA)</t>
        </is>
      </c>
      <c r="F23" s="10">
        <f>'Financial Statements'!K56</f>
        <v/>
      </c>
    </row>
    <row r="25">
      <c r="E25" t="inlineStr">
        <is>
          <t>Interest Coverage at Entry</t>
        </is>
      </c>
      <c r="F25" s="10">
        <f>'Transaction Assumptions'!C25</f>
        <v/>
      </c>
    </row>
    <row r="26">
      <c r="E26" t="inlineStr">
        <is>
          <t>Min. Interest Coverage (Y1-Y5)</t>
        </is>
      </c>
      <c r="F26" s="10">
        <f>MIN('Financial Statements'!G57:K57)</f>
        <v/>
      </c>
    </row>
    <row r="28">
      <c r="E28" t="inlineStr">
        <is>
          <t>Total Debt Paydown</t>
        </is>
      </c>
      <c r="F28" s="13">
        <f>'Returns Analysis'!C25</f>
        <v/>
      </c>
    </row>
  </sheetData>
  <mergeCells count="4">
    <mergeCell ref="B13:C13"/>
    <mergeCell ref="B6:C6"/>
    <mergeCell ref="E6:F6"/>
    <mergeCell ref="E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5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</cols>
  <sheetData>
    <row r="2">
      <c r="B2" s="15" t="inlineStr">
        <is>
          <t>TRANSACTION ASSUMPTIONS</t>
        </is>
      </c>
    </row>
    <row r="3">
      <c r="B3" s="16" t="inlineStr">
        <is>
          <t>Entry Valuation &amp; Deal Structure</t>
        </is>
      </c>
    </row>
    <row r="5">
      <c r="B5" s="3" t="inlineStr">
        <is>
          <t>COMPANY INFORMATION</t>
        </is>
      </c>
      <c r="C5" s="4" t="n"/>
    </row>
    <row r="7">
      <c r="B7" t="inlineStr">
        <is>
          <t>Company Name:</t>
        </is>
      </c>
      <c r="C7" s="17" t="inlineStr">
        <is>
          <t>Target Company Inc.</t>
        </is>
      </c>
    </row>
    <row r="8">
      <c r="B8" t="inlineStr">
        <is>
          <t>Industry:</t>
        </is>
      </c>
      <c r="C8" s="17" t="inlineStr">
        <is>
          <t>Consumer Products</t>
        </is>
      </c>
    </row>
    <row r="9">
      <c r="B9" t="inlineStr">
        <is>
          <t>Transaction Date:</t>
        </is>
      </c>
      <c r="C9" s="18" t="n">
        <v>45658</v>
      </c>
    </row>
    <row r="10">
      <c r="B10" t="inlineStr">
        <is>
          <t>Holding Period (Years):</t>
        </is>
      </c>
      <c r="C10" s="19" t="n">
        <v>5</v>
      </c>
    </row>
    <row r="11">
      <c r="B11" t="inlineStr">
        <is>
          <t>Exit Date:</t>
        </is>
      </c>
      <c r="C11" s="20">
        <f>DATE(YEAR(C9)+C10,MONTH(C9),DAY(C9))</f>
        <v/>
      </c>
    </row>
    <row r="14">
      <c r="B14" s="3" t="inlineStr">
        <is>
          <t>ENTRY VALUATION</t>
        </is>
      </c>
      <c r="C14" s="4" t="n"/>
    </row>
    <row r="16">
      <c r="B16" t="inlineStr">
        <is>
          <t>LTM Revenue ($M)</t>
        </is>
      </c>
      <c r="C16" s="21" t="n">
        <v>500</v>
      </c>
    </row>
    <row r="17">
      <c r="B17" t="inlineStr">
        <is>
          <t>LTM EBITDA ($M)</t>
        </is>
      </c>
      <c r="C17" s="21" t="n">
        <v>100</v>
      </c>
    </row>
    <row r="18">
      <c r="B18" t="inlineStr">
        <is>
          <t>EBITDA Margin %</t>
        </is>
      </c>
      <c r="C18" s="22">
        <f>C17/C16</f>
        <v/>
      </c>
    </row>
    <row r="20">
      <c r="B20" t="inlineStr">
        <is>
          <t>Entry EV / Revenue Multiple</t>
        </is>
      </c>
      <c r="C20" s="23" t="n">
        <v>2</v>
      </c>
    </row>
    <row r="21">
      <c r="B21" t="inlineStr">
        <is>
          <t>Entry EV / EBITDA Multiple</t>
        </is>
      </c>
      <c r="C21" s="23" t="n">
        <v>10</v>
      </c>
    </row>
    <row r="23">
      <c r="B23" t="inlineStr">
        <is>
          <t>Purchase Price (Enterprise Value)</t>
        </is>
      </c>
      <c r="C23" s="24">
        <f>C17*C21</f>
        <v/>
      </c>
    </row>
    <row r="26">
      <c r="B26" s="3" t="inlineStr">
        <is>
          <t>FINANCING ASSUMPTIONS</t>
        </is>
      </c>
      <c r="C26" s="4" t="n"/>
    </row>
    <row r="28">
      <c r="B28" t="inlineStr">
        <is>
          <t>Total Leverage (Debt / EBITDA)</t>
        </is>
      </c>
      <c r="C28" s="23" t="n">
        <v>5</v>
      </c>
    </row>
    <row r="29">
      <c r="B29" t="inlineStr">
        <is>
          <t>Senior Leverage (Senior / EBITDA)</t>
        </is>
      </c>
      <c r="C29" s="23" t="n">
        <v>4</v>
      </c>
    </row>
    <row r="31">
      <c r="B31" t="inlineStr">
        <is>
          <t>Total Debt at Entry</t>
        </is>
      </c>
      <c r="C31" s="24">
        <f>C17*C28</f>
        <v/>
      </c>
    </row>
    <row r="32">
      <c r="B32" t="inlineStr">
        <is>
          <t>Interest Coverage (EBITDA / Interest)</t>
        </is>
      </c>
      <c r="C32" s="25">
        <f>C17/'Debt Schedule'!C32</f>
        <v/>
      </c>
    </row>
    <row r="35">
      <c r="B35" s="3" t="inlineStr">
        <is>
          <t>TRANSACTION COSTS</t>
        </is>
      </c>
      <c r="C35" s="4" t="n"/>
    </row>
    <row r="37">
      <c r="B37" t="inlineStr">
        <is>
          <t>M&amp;A Advisory Fees (% of EV)</t>
        </is>
      </c>
      <c r="C37" s="26" t="n">
        <v>0.015</v>
      </c>
    </row>
    <row r="38">
      <c r="B38" t="inlineStr">
        <is>
          <t>Legal &amp; Other Fees ($ M)</t>
        </is>
      </c>
      <c r="C38" s="21" t="n">
        <v>3</v>
      </c>
    </row>
    <row r="39">
      <c r="B39" t="inlineStr">
        <is>
          <t>Financing Fees (% of Debt)</t>
        </is>
      </c>
      <c r="C39" s="26" t="n">
        <v>0.02</v>
      </c>
    </row>
    <row r="41">
      <c r="B41" t="inlineStr">
        <is>
          <t>Total M&amp;A Advisory Fees</t>
        </is>
      </c>
      <c r="C41" s="24">
        <f>C23*C37</f>
        <v/>
      </c>
    </row>
    <row r="42">
      <c r="B42" t="inlineStr">
        <is>
          <t>Total Financing Fees</t>
        </is>
      </c>
      <c r="C42" s="24">
        <f>C31*C39</f>
        <v/>
      </c>
    </row>
    <row r="43">
      <c r="B43" t="inlineStr">
        <is>
          <t>Total Transaction Costs</t>
        </is>
      </c>
      <c r="C43" s="24">
        <f>C41+C38+C42</f>
        <v/>
      </c>
    </row>
    <row r="46">
      <c r="B46" s="3" t="inlineStr">
        <is>
          <t>EXIT ASSUMPTIONS</t>
        </is>
      </c>
      <c r="C46" s="4" t="n"/>
    </row>
    <row r="48">
      <c r="B48" t="inlineStr">
        <is>
          <t>Exit EV / EBITDA Multiple</t>
        </is>
      </c>
      <c r="C48" s="23" t="n">
        <v>10</v>
      </c>
    </row>
    <row r="49">
      <c r="B49" s="27" t="inlineStr">
        <is>
          <t>Exit Year EBITDA ($ M)</t>
        </is>
      </c>
      <c r="C49" s="28">
        <f>'Financial Statements'!K31</f>
        <v/>
      </c>
    </row>
    <row r="50">
      <c r="B50" t="inlineStr">
        <is>
          <t>Exit Enterprise Value</t>
        </is>
      </c>
      <c r="C50" s="24">
        <f>C49*C48</f>
        <v/>
      </c>
    </row>
  </sheetData>
  <mergeCells count="5">
    <mergeCell ref="B5:C5"/>
    <mergeCell ref="B46:C46"/>
    <mergeCell ref="B14:C14"/>
    <mergeCell ref="B26:C26"/>
    <mergeCell ref="B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3" customWidth="1" min="4" max="4"/>
    <col width="35" customWidth="1" min="5" max="5"/>
    <col width="18" customWidth="1" min="6" max="6"/>
  </cols>
  <sheetData>
    <row r="2">
      <c r="B2" s="15" t="inlineStr">
        <is>
          <t>SOURCES &amp; USES OF FUNDS</t>
        </is>
      </c>
    </row>
    <row r="3">
      <c r="B3" s="16" t="inlineStr">
        <is>
          <t>Transaction Financing Structure</t>
        </is>
      </c>
    </row>
    <row r="6">
      <c r="B6" s="3" t="inlineStr">
        <is>
          <t>SOURCES</t>
        </is>
      </c>
      <c r="C6" s="4" t="n"/>
      <c r="E6" s="5" t="inlineStr">
        <is>
          <t>USES</t>
        </is>
      </c>
      <c r="F6" s="4" t="n"/>
    </row>
    <row r="8">
      <c r="B8" s="29" t="inlineStr">
        <is>
          <t>Debt Financing:</t>
        </is>
      </c>
      <c r="E8" s="29" t="inlineStr">
        <is>
          <t>Purchase Price:</t>
        </is>
      </c>
    </row>
    <row r="9">
      <c r="B9" t="inlineStr">
        <is>
          <t xml:space="preserve">  Revolving Credit Facility</t>
        </is>
      </c>
      <c r="C9" s="21" t="n">
        <v>0</v>
      </c>
      <c r="E9" t="inlineStr">
        <is>
          <t xml:space="preserve">  Enterprise Value</t>
        </is>
      </c>
      <c r="F9" s="13">
        <f>'Transaction Assumptions'!C23</f>
        <v/>
      </c>
    </row>
    <row r="10">
      <c r="B10" t="inlineStr">
        <is>
          <t xml:space="preserve">  Term Loan A</t>
        </is>
      </c>
      <c r="C10" s="21" t="n">
        <v>200</v>
      </c>
      <c r="E10" t="inlineStr">
        <is>
          <t xml:space="preserve">  Less: Existing Cash</t>
        </is>
      </c>
      <c r="F10" s="21" t="n">
        <v>0</v>
      </c>
    </row>
    <row r="11">
      <c r="B11" t="inlineStr">
        <is>
          <t xml:space="preserve">  Term Loan B</t>
        </is>
      </c>
      <c r="C11" s="21" t="n">
        <v>200</v>
      </c>
      <c r="E11" t="inlineStr">
        <is>
          <t xml:space="preserve">  Plus: Existing Debt Payoff</t>
        </is>
      </c>
      <c r="F11" s="21" t="n">
        <v>0</v>
      </c>
    </row>
    <row r="12">
      <c r="B12" t="inlineStr">
        <is>
          <t xml:space="preserve">  Subordinated Debt</t>
        </is>
      </c>
      <c r="C12" s="21" t="n">
        <v>100</v>
      </c>
    </row>
    <row r="13">
      <c r="E13" t="inlineStr">
        <is>
          <t>Purchase of Equity</t>
        </is>
      </c>
      <c r="F13" s="30">
        <f>F9-F10+F11</f>
        <v/>
      </c>
    </row>
    <row r="14">
      <c r="B14" t="inlineStr">
        <is>
          <t>Total Debt</t>
        </is>
      </c>
      <c r="C14" s="30">
        <f>SUM(C9:C12)</f>
        <v/>
      </c>
    </row>
    <row r="15">
      <c r="E15" s="29" t="inlineStr">
        <is>
          <t>Transaction Costs:</t>
        </is>
      </c>
    </row>
    <row r="16">
      <c r="B16" s="29" t="inlineStr">
        <is>
          <t>Equity Financing:</t>
        </is>
      </c>
      <c r="E16" t="inlineStr">
        <is>
          <t xml:space="preserve">  M&amp;A Advisory Fees</t>
        </is>
      </c>
      <c r="F16" s="13">
        <f>'Transaction Assumptions'!C41</f>
        <v/>
      </c>
    </row>
    <row r="17">
      <c r="B17" t="inlineStr">
        <is>
          <t xml:space="preserve">  Sponsor Equity</t>
        </is>
      </c>
      <c r="C17" s="21" t="n">
        <v>450</v>
      </c>
      <c r="E17" t="inlineStr">
        <is>
          <t xml:space="preserve">  Legal &amp; Other Fees</t>
        </is>
      </c>
      <c r="F17" s="13">
        <f>'Transaction Assumptions'!C38</f>
        <v/>
      </c>
    </row>
    <row r="18">
      <c r="B18" t="inlineStr">
        <is>
          <t xml:space="preserve">  Management Rollover</t>
        </is>
      </c>
      <c r="C18" s="21" t="n">
        <v>50</v>
      </c>
      <c r="E18" t="inlineStr">
        <is>
          <t xml:space="preserve">  Financing Fees</t>
        </is>
      </c>
      <c r="F18" s="13">
        <f>'Transaction Assumptions'!C42</f>
        <v/>
      </c>
    </row>
    <row r="20">
      <c r="B20" t="inlineStr">
        <is>
          <t>Total Equity</t>
        </is>
      </c>
      <c r="C20" s="30">
        <f>SUM(C17:C18)</f>
        <v/>
      </c>
      <c r="E20" t="inlineStr">
        <is>
          <t>Total Transaction Costs</t>
        </is>
      </c>
      <c r="F20" s="30">
        <f>SUM(F16:F18)</f>
        <v/>
      </c>
    </row>
    <row r="22">
      <c r="B22" t="inlineStr">
        <is>
          <t>TOTAL SOURCES</t>
        </is>
      </c>
      <c r="C22" s="31">
        <f>C14+C20</f>
        <v/>
      </c>
      <c r="E22" t="inlineStr">
        <is>
          <t>TOTAL USES</t>
        </is>
      </c>
      <c r="F22" s="32">
        <f>F13+F20</f>
        <v/>
      </c>
    </row>
    <row r="25">
      <c r="E25" s="33" t="inlineStr">
        <is>
          <t>Check (Should = 0):</t>
        </is>
      </c>
      <c r="F25" s="34">
        <f>C22-F22</f>
        <v/>
      </c>
    </row>
    <row r="27">
      <c r="B27" s="3" t="inlineStr">
        <is>
          <t>CAPITAL STRUCTURE ANALYSIS</t>
        </is>
      </c>
      <c r="C27" s="4" t="n"/>
    </row>
    <row r="29">
      <c r="B29" t="inlineStr">
        <is>
          <t>Debt as % of Total Capitalization</t>
        </is>
      </c>
      <c r="C29" s="22">
        <f>C14/C22</f>
        <v/>
      </c>
    </row>
    <row r="30">
      <c r="B30" t="inlineStr">
        <is>
          <t>Equity as % of Total Capitalization</t>
        </is>
      </c>
      <c r="C30" s="22">
        <f>C20/C22</f>
        <v/>
      </c>
    </row>
    <row r="31">
      <c r="B31" t="inlineStr">
        <is>
          <t>Sponsor Equity as % of Total Equity</t>
        </is>
      </c>
      <c r="C31" s="22">
        <f>C17/C20</f>
        <v/>
      </c>
    </row>
    <row r="32">
      <c r="B32" t="inlineStr">
        <is>
          <t>Management as % of Total Equity</t>
        </is>
      </c>
      <c r="C32" s="22">
        <f>C18/C20</f>
        <v/>
      </c>
    </row>
  </sheetData>
  <mergeCells count="3">
    <mergeCell ref="B27:C27"/>
    <mergeCell ref="B6:C6"/>
    <mergeCell ref="E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7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5" t="inlineStr">
        <is>
          <t>DEBT SCHEDULE &amp; CASH SWEEP</t>
        </is>
      </c>
    </row>
    <row r="6">
      <c r="C6" s="35" t="inlineStr">
        <is>
          <t>Year 0</t>
        </is>
      </c>
      <c r="D6" s="35" t="inlineStr">
        <is>
          <t>Year 1</t>
        </is>
      </c>
      <c r="E6" s="35" t="inlineStr">
        <is>
          <t>Year 2</t>
        </is>
      </c>
      <c r="F6" s="35" t="inlineStr">
        <is>
          <t>Year 3</t>
        </is>
      </c>
      <c r="G6" s="35" t="inlineStr">
        <is>
          <t>Year 4</t>
        </is>
      </c>
      <c r="H6" s="35" t="inlineStr">
        <is>
          <t>Year 5</t>
        </is>
      </c>
      <c r="I6" s="35" t="inlineStr">
        <is>
          <t>Year 6</t>
        </is>
      </c>
      <c r="J6" s="35" t="inlineStr">
        <is>
          <t>Year 7</t>
        </is>
      </c>
      <c r="K6" s="35" t="inlineStr">
        <is>
          <t>Year 8</t>
        </is>
      </c>
    </row>
    <row r="8">
      <c r="B8" s="3" t="inlineStr">
        <is>
          <t>DEBT ASSUMPTIONS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4" t="n"/>
    </row>
    <row r="10">
      <c r="B10" s="29" t="inlineStr">
        <is>
          <t>Revolving Credit Facility</t>
        </is>
      </c>
    </row>
    <row r="11">
      <c r="B11" t="inlineStr">
        <is>
          <t xml:space="preserve">  Commitment Amount</t>
        </is>
      </c>
      <c r="C11" s="13">
        <f>'Sources &amp; Uses'!C9</f>
        <v/>
      </c>
    </row>
    <row r="12">
      <c r="B12" t="inlineStr">
        <is>
          <t xml:space="preserve">  Interest Rate (% p.a.)</t>
        </is>
      </c>
      <c r="C12" s="26" t="n">
        <v>0.05</v>
      </c>
    </row>
    <row r="16">
      <c r="B16" s="29" t="inlineStr">
        <is>
          <t>Term Loan A</t>
        </is>
      </c>
    </row>
    <row r="17">
      <c r="B17" t="inlineStr">
        <is>
          <t xml:space="preserve">  Principal Amount</t>
        </is>
      </c>
      <c r="C17" s="13">
        <f>'Sources &amp; Uses'!C10</f>
        <v/>
      </c>
    </row>
    <row r="18">
      <c r="B18" t="inlineStr">
        <is>
          <t xml:space="preserve">  Interest Rate (% p.a.)</t>
        </is>
      </c>
      <c r="C18" s="26" t="n">
        <v>0.06</v>
      </c>
    </row>
    <row r="19">
      <c r="B19" t="inlineStr">
        <is>
          <t xml:space="preserve">  Mandatory Amortization (%)</t>
        </is>
      </c>
      <c r="C19" s="26" t="n">
        <v>0.05</v>
      </c>
    </row>
    <row r="20">
      <c r="B20" t="inlineStr">
        <is>
          <t xml:space="preserve">  Cash Sweep (%)</t>
        </is>
      </c>
      <c r="C20" s="26" t="n">
        <v>1</v>
      </c>
    </row>
    <row r="22">
      <c r="B22" s="29" t="inlineStr">
        <is>
          <t>Term Loan B</t>
        </is>
      </c>
    </row>
    <row r="23">
      <c r="B23" t="inlineStr">
        <is>
          <t xml:space="preserve">  Principal Amount</t>
        </is>
      </c>
      <c r="C23" s="13">
        <f>'Sources &amp; Uses'!C11</f>
        <v/>
      </c>
    </row>
    <row r="24">
      <c r="B24" t="inlineStr">
        <is>
          <t xml:space="preserve">  Interest Rate (% p.a.)</t>
        </is>
      </c>
      <c r="C24" s="26" t="n">
        <v>0.075</v>
      </c>
    </row>
    <row r="25">
      <c r="B25" t="inlineStr">
        <is>
          <t xml:space="preserve">  Mandatory Amortization (%)</t>
        </is>
      </c>
      <c r="C25" s="26" t="n">
        <v>0.01</v>
      </c>
    </row>
    <row r="26">
      <c r="B26" t="inlineStr">
        <is>
          <t xml:space="preserve">  Cash Sweep (%)</t>
        </is>
      </c>
      <c r="C26" s="26" t="n">
        <v>0.5</v>
      </c>
    </row>
    <row r="28">
      <c r="B28" s="29" t="inlineStr">
        <is>
          <t>Subordinated Debt</t>
        </is>
      </c>
    </row>
    <row r="29">
      <c r="B29" t="inlineStr">
        <is>
          <t xml:space="preserve">  Principal Amount</t>
        </is>
      </c>
      <c r="C29" s="13">
        <f>'Sources &amp; Uses'!C12</f>
        <v/>
      </c>
    </row>
    <row r="30">
      <c r="B30" t="inlineStr">
        <is>
          <t xml:space="preserve">  Interest Rate (% p.a.)</t>
        </is>
      </c>
      <c r="C30" s="26" t="n">
        <v>0.1</v>
      </c>
    </row>
    <row r="32">
      <c r="B32" t="inlineStr">
        <is>
          <t>Total Year 1 Interest Expense</t>
        </is>
      </c>
      <c r="C32" s="24">
        <f>D63</f>
        <v/>
      </c>
    </row>
    <row r="35">
      <c r="B35" s="3" t="inlineStr">
        <is>
          <t>DEBT BALANCES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4" t="n"/>
    </row>
    <row r="37">
      <c r="B37" t="inlineStr">
        <is>
          <t>Revolver</t>
        </is>
      </c>
      <c r="C37" s="24">
        <f>C11</f>
        <v/>
      </c>
      <c r="D37" s="24">
        <f>MAX(0,C37+D63)</f>
        <v/>
      </c>
      <c r="E37" s="24">
        <f>MAX(0,D37+E63)</f>
        <v/>
      </c>
      <c r="F37" s="24">
        <f>MAX(0,E37+F63)</f>
        <v/>
      </c>
      <c r="G37" s="24">
        <f>MAX(0,F37+G63)</f>
        <v/>
      </c>
      <c r="H37" s="24">
        <f>MAX(0,G37+H63)</f>
        <v/>
      </c>
      <c r="I37" s="24">
        <f>MAX(0,H37+I63)</f>
        <v/>
      </c>
      <c r="J37" s="24">
        <f>MAX(0,I37+J63)</f>
        <v/>
      </c>
      <c r="K37" s="24">
        <f>MAX(0,J37+K63)</f>
        <v/>
      </c>
    </row>
    <row r="38">
      <c r="B38" t="inlineStr">
        <is>
          <t>Term Loan A</t>
        </is>
      </c>
      <c r="C38" s="24">
        <f>C17</f>
        <v/>
      </c>
      <c r="D38" s="24">
        <f>MAX(0,C38-D46-D47)</f>
        <v/>
      </c>
      <c r="E38" s="24">
        <f>MAX(0,D38-E46-E47)</f>
        <v/>
      </c>
      <c r="F38" s="24">
        <f>MAX(0,E38-F46-F47)</f>
        <v/>
      </c>
      <c r="G38" s="24">
        <f>MAX(0,F38-G46-G47)</f>
        <v/>
      </c>
      <c r="H38" s="24">
        <f>MAX(0,G38-H46-H47)</f>
        <v/>
      </c>
      <c r="I38" s="24">
        <f>MAX(0,H38-I46-I47)</f>
        <v/>
      </c>
      <c r="J38" s="24">
        <f>MAX(0,I38-J46-J47)</f>
        <v/>
      </c>
      <c r="K38" s="24">
        <f>MAX(0,J38-K46-K47)</f>
        <v/>
      </c>
    </row>
    <row r="39">
      <c r="B39" t="inlineStr">
        <is>
          <t>Term Loan B</t>
        </is>
      </c>
      <c r="C39" s="24">
        <f>C23</f>
        <v/>
      </c>
      <c r="D39" s="24">
        <f>MAX(0,C39-D50-D51)</f>
        <v/>
      </c>
      <c r="E39" s="24">
        <f>MAX(0,D39-E50-E51)</f>
        <v/>
      </c>
      <c r="F39" s="24">
        <f>MAX(0,E39-F50-F51)</f>
        <v/>
      </c>
      <c r="G39" s="24">
        <f>MAX(0,F39-G50-G51)</f>
        <v/>
      </c>
      <c r="H39" s="24">
        <f>MAX(0,G39-H50-H51)</f>
        <v/>
      </c>
      <c r="I39" s="24">
        <f>MAX(0,H39-I50-I51)</f>
        <v/>
      </c>
      <c r="J39" s="24">
        <f>MAX(0,I39-J50-J51)</f>
        <v/>
      </c>
      <c r="K39" s="24">
        <f>MAX(0,J39-K50-K51)</f>
        <v/>
      </c>
    </row>
    <row r="40">
      <c r="B40" t="inlineStr">
        <is>
          <t>Subordinated Debt</t>
        </is>
      </c>
      <c r="C40" s="24">
        <f>C29</f>
        <v/>
      </c>
      <c r="D40" s="24">
        <f>C40</f>
        <v/>
      </c>
      <c r="E40" s="24">
        <f>D40</f>
        <v/>
      </c>
      <c r="F40" s="24">
        <f>E40</f>
        <v/>
      </c>
      <c r="G40" s="24">
        <f>F40</f>
        <v/>
      </c>
      <c r="H40" s="24">
        <f>G40</f>
        <v/>
      </c>
      <c r="I40" s="24">
        <f>H40</f>
        <v/>
      </c>
      <c r="J40" s="24">
        <f>I40</f>
        <v/>
      </c>
      <c r="K40" s="24">
        <f>J40</f>
        <v/>
      </c>
    </row>
    <row r="42">
      <c r="B42" t="inlineStr">
        <is>
          <t>Total Debt</t>
        </is>
      </c>
      <c r="C42" s="30">
        <f>SUM(C37:C40)</f>
        <v/>
      </c>
      <c r="D42" s="30">
        <f>SUM(D37:D40)</f>
        <v/>
      </c>
      <c r="E42" s="30">
        <f>SUM(E37:E40)</f>
        <v/>
      </c>
      <c r="F42" s="30">
        <f>SUM(F37:F40)</f>
        <v/>
      </c>
      <c r="G42" s="30">
        <f>SUM(G37:G40)</f>
        <v/>
      </c>
      <c r="H42" s="30">
        <f>SUM(H37:H40)</f>
        <v/>
      </c>
      <c r="I42" s="30">
        <f>SUM(I37:I40)</f>
        <v/>
      </c>
      <c r="J42" s="30">
        <f>SUM(J37:J40)</f>
        <v/>
      </c>
      <c r="K42" s="30">
        <f>SUM(K37:K40)</f>
        <v/>
      </c>
    </row>
    <row r="44">
      <c r="B44" s="12" t="inlineStr">
        <is>
          <t>MANDATORY AMORTIZATION</t>
        </is>
      </c>
      <c r="C44" s="36" t="n"/>
      <c r="D44" s="36" t="n"/>
      <c r="E44" s="36" t="n"/>
      <c r="F44" s="36" t="n"/>
      <c r="G44" s="36" t="n"/>
      <c r="H44" s="36" t="n"/>
      <c r="I44" s="36" t="n"/>
      <c r="J44" s="36" t="n"/>
      <c r="K44" s="4" t="n"/>
    </row>
    <row r="46">
      <c r="B46" t="inlineStr">
        <is>
          <t>Term Loan A - Mandatory</t>
        </is>
      </c>
      <c r="D46" s="24">
        <f>MIN(C38,C17*C19)</f>
        <v/>
      </c>
      <c r="E46" s="24">
        <f>MIN(D38,C17*C19)</f>
        <v/>
      </c>
      <c r="F46" s="24">
        <f>MIN(E38,C17*C19)</f>
        <v/>
      </c>
      <c r="G46" s="24">
        <f>MIN(F38,C17*C19)</f>
        <v/>
      </c>
      <c r="H46" s="24">
        <f>MIN(G38,C17*C19)</f>
        <v/>
      </c>
      <c r="I46" s="24">
        <f>MIN(H38,C17*C19)</f>
        <v/>
      </c>
      <c r="J46" s="24">
        <f>MIN(I38,C17*C19)</f>
        <v/>
      </c>
      <c r="K46" s="24">
        <f>MIN(J38,C17*C19)</f>
        <v/>
      </c>
    </row>
    <row r="47">
      <c r="B47" t="inlineStr">
        <is>
          <t>Term Loan A - Cash Sweep</t>
        </is>
      </c>
      <c r="D47" s="24">
        <f>D74</f>
        <v/>
      </c>
      <c r="E47" s="24">
        <f>E74</f>
        <v/>
      </c>
      <c r="F47" s="24">
        <f>F74</f>
        <v/>
      </c>
      <c r="G47" s="24">
        <f>G74</f>
        <v/>
      </c>
      <c r="H47" s="24">
        <f>H74</f>
        <v/>
      </c>
      <c r="I47" s="24">
        <f>I74</f>
        <v/>
      </c>
      <c r="J47" s="24">
        <f>J74</f>
        <v/>
      </c>
      <c r="K47" s="24">
        <f>K74</f>
        <v/>
      </c>
    </row>
    <row r="50">
      <c r="B50" t="inlineStr">
        <is>
          <t>Term Loan B - Mandatory</t>
        </is>
      </c>
      <c r="D50" s="24">
        <f>MIN(C39,C23*C25)</f>
        <v/>
      </c>
      <c r="E50" s="24">
        <f>MIN(D39,C23*C25)</f>
        <v/>
      </c>
      <c r="F50" s="24">
        <f>MIN(E39,C23*C25)</f>
        <v/>
      </c>
      <c r="G50" s="24">
        <f>MIN(F39,C23*C25)</f>
        <v/>
      </c>
      <c r="H50" s="24">
        <f>MIN(G39,C23*C25)</f>
        <v/>
      </c>
      <c r="I50" s="24">
        <f>MIN(H39,C23*C25)</f>
        <v/>
      </c>
      <c r="J50" s="24">
        <f>MIN(I39,C23*C25)</f>
        <v/>
      </c>
      <c r="K50" s="24">
        <f>MIN(J39,C23*C25)</f>
        <v/>
      </c>
    </row>
    <row r="51">
      <c r="B51" t="inlineStr">
        <is>
          <t>Term Loan B - Cash Sweep</t>
        </is>
      </c>
      <c r="D51" s="24">
        <f>D76</f>
        <v/>
      </c>
      <c r="E51" s="24">
        <f>E76</f>
        <v/>
      </c>
      <c r="F51" s="24">
        <f>F76</f>
        <v/>
      </c>
      <c r="G51" s="24">
        <f>G76</f>
        <v/>
      </c>
      <c r="H51" s="24">
        <f>H76</f>
        <v/>
      </c>
      <c r="I51" s="24">
        <f>I76</f>
        <v/>
      </c>
      <c r="J51" s="24">
        <f>J76</f>
        <v/>
      </c>
      <c r="K51" s="24">
        <f>K76</f>
        <v/>
      </c>
    </row>
    <row r="54">
      <c r="B54" s="3" t="inlineStr">
        <is>
          <t>INTEREST EXPENSE</t>
        </is>
      </c>
      <c r="C54" s="36" t="n"/>
      <c r="D54" s="36" t="n"/>
      <c r="E54" s="36" t="n"/>
      <c r="F54" s="36" t="n"/>
      <c r="G54" s="36" t="n"/>
      <c r="H54" s="36" t="n"/>
      <c r="I54" s="36" t="n"/>
      <c r="J54" s="36" t="n"/>
      <c r="K54" s="4" t="n"/>
    </row>
    <row r="56">
      <c r="B56" t="inlineStr">
        <is>
          <t>Revolver</t>
        </is>
      </c>
      <c r="D56" s="24">
        <f>C37*C12</f>
        <v/>
      </c>
      <c r="E56" s="24">
        <f>D37*C12</f>
        <v/>
      </c>
      <c r="F56" s="24">
        <f>E37*C12</f>
        <v/>
      </c>
      <c r="G56" s="24">
        <f>F37*C12</f>
        <v/>
      </c>
      <c r="H56" s="24">
        <f>G37*C12</f>
        <v/>
      </c>
      <c r="I56" s="24">
        <f>H37*C12</f>
        <v/>
      </c>
      <c r="J56" s="24">
        <f>I37*C12</f>
        <v/>
      </c>
      <c r="K56" s="24">
        <f>J37*C12</f>
        <v/>
      </c>
    </row>
    <row r="58">
      <c r="B58" t="inlineStr">
        <is>
          <t>Term Loan A</t>
        </is>
      </c>
      <c r="D58" s="24">
        <f>C38*C18</f>
        <v/>
      </c>
      <c r="E58" s="24">
        <f>D38*C18</f>
        <v/>
      </c>
      <c r="F58" s="24">
        <f>E38*C18</f>
        <v/>
      </c>
      <c r="G58" s="24">
        <f>F38*C18</f>
        <v/>
      </c>
      <c r="H58" s="24">
        <f>G38*C18</f>
        <v/>
      </c>
      <c r="I58" s="24">
        <f>H38*C18</f>
        <v/>
      </c>
      <c r="J58" s="24">
        <f>I38*C18</f>
        <v/>
      </c>
      <c r="K58" s="24">
        <f>J38*C18</f>
        <v/>
      </c>
    </row>
    <row r="59">
      <c r="B59" t="inlineStr">
        <is>
          <t>Term Loan B</t>
        </is>
      </c>
      <c r="D59" s="24">
        <f>C39*C24</f>
        <v/>
      </c>
      <c r="E59" s="24">
        <f>D39*C24</f>
        <v/>
      </c>
      <c r="F59" s="24">
        <f>E39*C24</f>
        <v/>
      </c>
      <c r="G59" s="24">
        <f>F39*C24</f>
        <v/>
      </c>
      <c r="H59" s="24">
        <f>G39*C24</f>
        <v/>
      </c>
      <c r="I59" s="24">
        <f>H39*C24</f>
        <v/>
      </c>
      <c r="J59" s="24">
        <f>I39*C24</f>
        <v/>
      </c>
      <c r="K59" s="24">
        <f>J39*C24</f>
        <v/>
      </c>
    </row>
    <row r="60">
      <c r="B60" t="inlineStr">
        <is>
          <t>Subordinated Debt</t>
        </is>
      </c>
      <c r="D60" s="24">
        <f>C40*C30</f>
        <v/>
      </c>
      <c r="E60" s="24">
        <f>D40*C30</f>
        <v/>
      </c>
      <c r="F60" s="24">
        <f>E40*C30</f>
        <v/>
      </c>
      <c r="G60" s="24">
        <f>F40*C30</f>
        <v/>
      </c>
      <c r="H60" s="24">
        <f>G40*C30</f>
        <v/>
      </c>
      <c r="I60" s="24">
        <f>H40*C30</f>
        <v/>
      </c>
      <c r="J60" s="24">
        <f>I40*C30</f>
        <v/>
      </c>
      <c r="K60" s="24">
        <f>J40*C30</f>
        <v/>
      </c>
    </row>
    <row r="63">
      <c r="B63" t="inlineStr">
        <is>
          <t>Total Interest</t>
        </is>
      </c>
      <c r="D63" s="30">
        <f>SUM(D56:D60)</f>
        <v/>
      </c>
      <c r="E63" s="30">
        <f>SUM(E56:E60)</f>
        <v/>
      </c>
      <c r="F63" s="30">
        <f>SUM(F56:F60)</f>
        <v/>
      </c>
      <c r="G63" s="30">
        <f>SUM(G56:G60)</f>
        <v/>
      </c>
      <c r="H63" s="30">
        <f>SUM(H56:H60)</f>
        <v/>
      </c>
      <c r="I63" s="30">
        <f>SUM(I56:I60)</f>
        <v/>
      </c>
      <c r="J63" s="30">
        <f>SUM(J56:J60)</f>
        <v/>
      </c>
      <c r="K63" s="30">
        <f>SUM(K56:K60)</f>
        <v/>
      </c>
    </row>
    <row r="66">
      <c r="B66" s="5" t="inlineStr">
        <is>
          <t>CASH SWEEP</t>
        </is>
      </c>
      <c r="C66" s="36" t="n"/>
      <c r="D66" s="36" t="n"/>
      <c r="E66" s="36" t="n"/>
      <c r="F66" s="36" t="n"/>
      <c r="G66" s="36" t="n"/>
      <c r="H66" s="36" t="n"/>
      <c r="I66" s="36" t="n"/>
      <c r="J66" s="36" t="n"/>
      <c r="K66" s="4" t="n"/>
    </row>
    <row r="68">
      <c r="B68" t="inlineStr">
        <is>
          <t>FCF (from Operations)</t>
        </is>
      </c>
      <c r="D68" s="13">
        <f>'Financial Statements'!D51</f>
        <v/>
      </c>
      <c r="E68" s="13">
        <f>'Financial Statements'!E51</f>
        <v/>
      </c>
      <c r="F68" s="13">
        <f>'Financial Statements'!F51</f>
        <v/>
      </c>
      <c r="G68" s="13">
        <f>'Financial Statements'!G51</f>
        <v/>
      </c>
      <c r="H68" s="13">
        <f>'Financial Statements'!H51</f>
        <v/>
      </c>
      <c r="I68" s="13">
        <f>'Financial Statements'!I51</f>
        <v/>
      </c>
      <c r="J68" s="13">
        <f>'Financial Statements'!J51</f>
        <v/>
      </c>
      <c r="K68" s="13">
        <f>'Financial Statements'!K51</f>
        <v/>
      </c>
    </row>
    <row r="69">
      <c r="B69" t="inlineStr">
        <is>
          <t>Less: Mandatory Amort</t>
        </is>
      </c>
      <c r="D69" s="24">
        <f>-D46-D50</f>
        <v/>
      </c>
      <c r="E69" s="24">
        <f>-E46-E50</f>
        <v/>
      </c>
      <c r="F69" s="24">
        <f>-F46-F50</f>
        <v/>
      </c>
      <c r="G69" s="24">
        <f>-G46-G50</f>
        <v/>
      </c>
      <c r="H69" s="24">
        <f>-H46-H50</f>
        <v/>
      </c>
      <c r="I69" s="24">
        <f>-I46-I50</f>
        <v/>
      </c>
      <c r="J69" s="24">
        <f>-J46-J50</f>
        <v/>
      </c>
      <c r="K69" s="24">
        <f>-K46-K50</f>
        <v/>
      </c>
    </row>
    <row r="70">
      <c r="B70" t="inlineStr">
        <is>
          <t>Less: Min Cash Balance</t>
        </is>
      </c>
      <c r="C70" s="21" t="n">
        <v>20</v>
      </c>
      <c r="D70" s="24">
        <f>-$C$70</f>
        <v/>
      </c>
      <c r="E70" s="24">
        <f>-$C$70</f>
        <v/>
      </c>
      <c r="F70" s="24">
        <f>-$C$70</f>
        <v/>
      </c>
      <c r="G70" s="24">
        <f>-$C$70</f>
        <v/>
      </c>
      <c r="H70" s="24">
        <f>-$C$70</f>
        <v/>
      </c>
      <c r="I70" s="24">
        <f>-$C$70</f>
        <v/>
      </c>
      <c r="J70" s="24">
        <f>-$C$70</f>
        <v/>
      </c>
      <c r="K70" s="24">
        <f>-$C$70</f>
        <v/>
      </c>
    </row>
    <row r="72">
      <c r="B72" t="inlineStr">
        <is>
          <t>Excess Cash for Sweep</t>
        </is>
      </c>
      <c r="D72" s="37">
        <f>MAX(0,D68+D69+D70)</f>
        <v/>
      </c>
      <c r="E72" s="37">
        <f>MAX(0,E68+E69+E70)</f>
        <v/>
      </c>
      <c r="F72" s="37">
        <f>MAX(0,F68+F69+F70)</f>
        <v/>
      </c>
      <c r="G72" s="37">
        <f>MAX(0,G68+G69+G70)</f>
        <v/>
      </c>
      <c r="H72" s="37">
        <f>MAX(0,H68+H69+H70)</f>
        <v/>
      </c>
      <c r="I72" s="37">
        <f>MAX(0,I68+I69+I70)</f>
        <v/>
      </c>
      <c r="J72" s="37">
        <f>MAX(0,J68+J69+J70)</f>
        <v/>
      </c>
      <c r="K72" s="37">
        <f>MAX(0,K68+K69+K70)</f>
        <v/>
      </c>
    </row>
    <row r="74">
      <c r="B74" t="inlineStr">
        <is>
          <t>Sweep to TLA (100%)</t>
        </is>
      </c>
      <c r="D74" s="24">
        <f>MIN(D72*C20,C38-D46)</f>
        <v/>
      </c>
      <c r="E74" s="24">
        <f>MIN(E72*C20,D38-E46)</f>
        <v/>
      </c>
      <c r="F74" s="24">
        <f>MIN(F72*C20,E38-F46)</f>
        <v/>
      </c>
      <c r="G74" s="24">
        <f>MIN(G72*C20,F38-G46)</f>
        <v/>
      </c>
      <c r="H74" s="24">
        <f>MIN(H72*C20,G38-H46)</f>
        <v/>
      </c>
      <c r="I74" s="24">
        <f>MIN(I72*C20,H38-I46)</f>
        <v/>
      </c>
      <c r="J74" s="24">
        <f>MIN(J72*C20,I38-J46)</f>
        <v/>
      </c>
      <c r="K74" s="24">
        <f>MIN(K72*C20,J38-K46)</f>
        <v/>
      </c>
    </row>
    <row r="75">
      <c r="B75" t="inlineStr">
        <is>
          <t>Remaining Cash</t>
        </is>
      </c>
      <c r="D75" s="24">
        <f>D72-D74</f>
        <v/>
      </c>
      <c r="E75" s="24">
        <f>E72-E74</f>
        <v/>
      </c>
      <c r="F75" s="24">
        <f>F72-F74</f>
        <v/>
      </c>
      <c r="G75" s="24">
        <f>G72-G74</f>
        <v/>
      </c>
      <c r="H75" s="24">
        <f>H72-H74</f>
        <v/>
      </c>
      <c r="I75" s="24">
        <f>I72-I74</f>
        <v/>
      </c>
      <c r="J75" s="24">
        <f>J72-J74</f>
        <v/>
      </c>
      <c r="K75" s="24">
        <f>K72-K74</f>
        <v/>
      </c>
    </row>
    <row r="76">
      <c r="B76" t="inlineStr">
        <is>
          <t>Sweep to TLB (50%)</t>
        </is>
      </c>
      <c r="D76" s="24">
        <f>MIN(D75*C26,C39-D50)</f>
        <v/>
      </c>
      <c r="E76" s="24">
        <f>MIN(E75*C26,D39-E50)</f>
        <v/>
      </c>
      <c r="F76" s="24">
        <f>MIN(F75*C26,E39-F50)</f>
        <v/>
      </c>
      <c r="G76" s="24">
        <f>MIN(G75*C26,F39-G50)</f>
        <v/>
      </c>
      <c r="H76" s="24">
        <f>MIN(H75*C26,G39-H50)</f>
        <v/>
      </c>
      <c r="I76" s="24">
        <f>MIN(I75*C26,H39-I50)</f>
        <v/>
      </c>
      <c r="J76" s="24">
        <f>MIN(J75*C26,I39-J50)</f>
        <v/>
      </c>
      <c r="K76" s="24">
        <f>MIN(K75*C26,J39-K50)</f>
        <v/>
      </c>
    </row>
    <row r="77">
      <c r="B77" t="inlineStr">
        <is>
          <t>Cash to Balance Sheet</t>
        </is>
      </c>
      <c r="D77" s="24">
        <f>D75-D76</f>
        <v/>
      </c>
      <c r="E77" s="24">
        <f>E75-E76</f>
        <v/>
      </c>
      <c r="F77" s="24">
        <f>F75-F76</f>
        <v/>
      </c>
      <c r="G77" s="24">
        <f>G75-G76</f>
        <v/>
      </c>
      <c r="H77" s="24">
        <f>H75-H76</f>
        <v/>
      </c>
      <c r="I77" s="24">
        <f>I75-I76</f>
        <v/>
      </c>
      <c r="J77" s="24">
        <f>J75-J76</f>
        <v/>
      </c>
      <c r="K77" s="24">
        <f>K75-K76</f>
        <v/>
      </c>
    </row>
  </sheetData>
  <mergeCells count="5">
    <mergeCell ref="B8:K8"/>
    <mergeCell ref="B35:K35"/>
    <mergeCell ref="B44:K44"/>
    <mergeCell ref="B54:K54"/>
    <mergeCell ref="B66:K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5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5" t="inlineStr">
        <is>
          <t>FINANCIAL STATEMENTS</t>
        </is>
      </c>
    </row>
    <row r="6">
      <c r="C6" s="35" t="inlineStr">
        <is>
          <t>Year 0</t>
        </is>
      </c>
      <c r="D6" s="35" t="inlineStr">
        <is>
          <t>Year 1</t>
        </is>
      </c>
      <c r="E6" s="35" t="inlineStr">
        <is>
          <t>Year 2</t>
        </is>
      </c>
      <c r="F6" s="35" t="inlineStr">
        <is>
          <t>Year 3</t>
        </is>
      </c>
      <c r="G6" s="35" t="inlineStr">
        <is>
          <t>Year 4</t>
        </is>
      </c>
      <c r="H6" s="35" t="inlineStr">
        <is>
          <t>Year 5</t>
        </is>
      </c>
      <c r="I6" s="35" t="inlineStr">
        <is>
          <t>Year 6</t>
        </is>
      </c>
      <c r="J6" s="35" t="inlineStr">
        <is>
          <t>Year 7</t>
        </is>
      </c>
      <c r="K6" s="35" t="inlineStr">
        <is>
          <t>Year 8</t>
        </is>
      </c>
    </row>
    <row r="8">
      <c r="B8" s="3" t="inlineStr">
        <is>
          <t>INCOME STATEMENT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4" t="n"/>
    </row>
    <row r="10">
      <c r="B10" t="inlineStr">
        <is>
          <t>Revenue</t>
        </is>
      </c>
      <c r="C10" s="13">
        <f>'Transaction Assumptions'!C16</f>
        <v/>
      </c>
      <c r="D10" s="24">
        <f>C10*(1+D11)</f>
        <v/>
      </c>
      <c r="E10" s="24">
        <f>D10*(1+E11)</f>
        <v/>
      </c>
      <c r="F10" s="24">
        <f>E10*(1+F11)</f>
        <v/>
      </c>
      <c r="G10" s="24">
        <f>F10*(1+G11)</f>
        <v/>
      </c>
      <c r="H10" s="24">
        <f>G10*(1+H11)</f>
        <v/>
      </c>
      <c r="I10" s="24">
        <f>H10*(1+I11)</f>
        <v/>
      </c>
      <c r="J10" s="24">
        <f>I10*(1+J11)</f>
        <v/>
      </c>
      <c r="K10" s="24">
        <f>J10*(1+K11)</f>
        <v/>
      </c>
    </row>
    <row r="11">
      <c r="B11" t="inlineStr">
        <is>
          <t>Revenue Growth %</t>
        </is>
      </c>
      <c r="C11" s="26" t="n">
        <v>0</v>
      </c>
      <c r="D11" s="26" t="n">
        <v>0.05</v>
      </c>
      <c r="E11" s="26" t="n">
        <v>0.05</v>
      </c>
      <c r="F11" s="26" t="n">
        <v>0.05</v>
      </c>
      <c r="G11" s="26" t="n">
        <v>0.05</v>
      </c>
      <c r="H11" s="26" t="n">
        <v>0.05</v>
      </c>
      <c r="I11" s="26" t="n">
        <v>0.05</v>
      </c>
      <c r="J11" s="26" t="n">
        <v>0.05</v>
      </c>
      <c r="K11" s="26" t="n">
        <v>0.05</v>
      </c>
    </row>
    <row r="13">
      <c r="B13" t="inlineStr">
        <is>
          <t>EBITDA</t>
        </is>
      </c>
      <c r="C13" s="24">
        <f>C10*C14</f>
        <v/>
      </c>
      <c r="D13" s="24">
        <f>D10*D14</f>
        <v/>
      </c>
      <c r="E13" s="24">
        <f>E10*E14</f>
        <v/>
      </c>
      <c r="F13" s="24">
        <f>F10*F14</f>
        <v/>
      </c>
      <c r="G13" s="24">
        <f>G10*G14</f>
        <v/>
      </c>
      <c r="H13" s="24">
        <f>H10*H14</f>
        <v/>
      </c>
      <c r="I13" s="24">
        <f>I10*I14</f>
        <v/>
      </c>
      <c r="J13" s="24">
        <f>J10*J14</f>
        <v/>
      </c>
      <c r="K13" s="24">
        <f>K10*K14</f>
        <v/>
      </c>
    </row>
    <row r="14">
      <c r="B14" t="inlineStr">
        <is>
          <t>EBITDA Margin %</t>
        </is>
      </c>
      <c r="C14" s="11">
        <f>'Transaction Assumptions'!C18</f>
        <v/>
      </c>
      <c r="D14" s="26" t="n">
        <v>0.22</v>
      </c>
      <c r="E14" s="26" t="n">
        <v>0.22</v>
      </c>
      <c r="F14" s="26" t="n">
        <v>0.22</v>
      </c>
      <c r="G14" s="26" t="n">
        <v>0.22</v>
      </c>
      <c r="H14" s="26" t="n">
        <v>0.22</v>
      </c>
      <c r="I14" s="26" t="n">
        <v>0.22</v>
      </c>
      <c r="J14" s="26" t="n">
        <v>0.22</v>
      </c>
      <c r="K14" s="26" t="n">
        <v>0.22</v>
      </c>
    </row>
    <row r="16">
      <c r="B16" t="inlineStr">
        <is>
          <t>Less: D&amp;A</t>
        </is>
      </c>
      <c r="C16" s="21" t="n">
        <v>15</v>
      </c>
      <c r="D16" s="21" t="n">
        <v>15</v>
      </c>
      <c r="E16" s="21" t="n">
        <v>15</v>
      </c>
      <c r="F16" s="21" t="n">
        <v>15</v>
      </c>
      <c r="G16" s="21" t="n">
        <v>15</v>
      </c>
      <c r="H16" s="21" t="n">
        <v>15</v>
      </c>
      <c r="I16" s="21" t="n">
        <v>15</v>
      </c>
      <c r="J16" s="21" t="n">
        <v>15</v>
      </c>
      <c r="K16" s="21" t="n">
        <v>15</v>
      </c>
    </row>
    <row r="18">
      <c r="B18" t="inlineStr">
        <is>
          <t>EBIT</t>
        </is>
      </c>
      <c r="C18" s="30">
        <f>C13-C16</f>
        <v/>
      </c>
      <c r="D18" s="30">
        <f>D13-D16</f>
        <v/>
      </c>
      <c r="E18" s="30">
        <f>E13-E16</f>
        <v/>
      </c>
      <c r="F18" s="30">
        <f>F13-F16</f>
        <v/>
      </c>
      <c r="G18" s="30">
        <f>G13-G16</f>
        <v/>
      </c>
      <c r="H18" s="30">
        <f>H13-H16</f>
        <v/>
      </c>
      <c r="I18" s="30">
        <f>I13-I16</f>
        <v/>
      </c>
      <c r="J18" s="30">
        <f>J13-J16</f>
        <v/>
      </c>
      <c r="K18" s="30">
        <f>K13-K16</f>
        <v/>
      </c>
    </row>
    <row r="20">
      <c r="B20" t="inlineStr">
        <is>
          <t>Less: Interest Expense</t>
        </is>
      </c>
      <c r="C20" s="13">
        <f>'Debt Schedule'!C63</f>
        <v/>
      </c>
      <c r="D20" s="13">
        <f>'Debt Schedule'!D63</f>
        <v/>
      </c>
      <c r="E20" s="13">
        <f>'Debt Schedule'!E63</f>
        <v/>
      </c>
      <c r="F20" s="13">
        <f>'Debt Schedule'!F63</f>
        <v/>
      </c>
      <c r="G20" s="13">
        <f>'Debt Schedule'!G63</f>
        <v/>
      </c>
      <c r="H20" s="13">
        <f>'Debt Schedule'!H63</f>
        <v/>
      </c>
      <c r="I20" s="13">
        <f>'Debt Schedule'!I63</f>
        <v/>
      </c>
      <c r="J20" s="13">
        <f>'Debt Schedule'!J63</f>
        <v/>
      </c>
      <c r="K20" s="13">
        <f>'Debt Schedule'!K63</f>
        <v/>
      </c>
    </row>
    <row r="22">
      <c r="B22" t="inlineStr">
        <is>
          <t>EBT</t>
        </is>
      </c>
      <c r="C22" s="24">
        <f>C18-C20</f>
        <v/>
      </c>
      <c r="D22" s="24">
        <f>D18-D20</f>
        <v/>
      </c>
      <c r="E22" s="24">
        <f>E18-E20</f>
        <v/>
      </c>
      <c r="F22" s="24">
        <f>F18-F20</f>
        <v/>
      </c>
      <c r="G22" s="24">
        <f>G18-G20</f>
        <v/>
      </c>
      <c r="H22" s="24">
        <f>H18-H20</f>
        <v/>
      </c>
      <c r="I22" s="24">
        <f>I18-I20</f>
        <v/>
      </c>
      <c r="J22" s="24">
        <f>J18-J20</f>
        <v/>
      </c>
      <c r="K22" s="24">
        <f>K18-K20</f>
        <v/>
      </c>
    </row>
    <row r="24">
      <c r="B24" t="inlineStr">
        <is>
          <t>Less: Taxes</t>
        </is>
      </c>
      <c r="C24" s="24">
        <f>C22*C25</f>
        <v/>
      </c>
      <c r="D24" s="24">
        <f>D22*D25</f>
        <v/>
      </c>
      <c r="E24" s="24">
        <f>E22*E25</f>
        <v/>
      </c>
      <c r="F24" s="24">
        <f>F22*F25</f>
        <v/>
      </c>
      <c r="G24" s="24">
        <f>G22*G25</f>
        <v/>
      </c>
      <c r="H24" s="24">
        <f>H22*H25</f>
        <v/>
      </c>
      <c r="I24" s="24">
        <f>I22*I25</f>
        <v/>
      </c>
      <c r="J24" s="24">
        <f>J22*J25</f>
        <v/>
      </c>
      <c r="K24" s="24">
        <f>K22*K25</f>
        <v/>
      </c>
    </row>
    <row r="25">
      <c r="B25" t="inlineStr">
        <is>
          <t>Tax Rate %</t>
        </is>
      </c>
      <c r="C25" s="26" t="n">
        <v>0.25</v>
      </c>
      <c r="D25" s="22">
        <f>$C$25</f>
        <v/>
      </c>
      <c r="E25" s="22">
        <f>$C$25</f>
        <v/>
      </c>
      <c r="F25" s="22">
        <f>$C$25</f>
        <v/>
      </c>
      <c r="G25" s="22">
        <f>$C$25</f>
        <v/>
      </c>
      <c r="H25" s="22">
        <f>$C$25</f>
        <v/>
      </c>
      <c r="I25" s="22">
        <f>$C$25</f>
        <v/>
      </c>
      <c r="J25" s="22">
        <f>$C$25</f>
        <v/>
      </c>
      <c r="K25" s="22">
        <f>$C$25</f>
        <v/>
      </c>
    </row>
    <row r="27">
      <c r="B27" t="inlineStr">
        <is>
          <t>Net Income</t>
        </is>
      </c>
      <c r="C27" s="37">
        <f>C22-C24</f>
        <v/>
      </c>
      <c r="D27" s="37">
        <f>D22-D24</f>
        <v/>
      </c>
      <c r="E27" s="37">
        <f>E22-E24</f>
        <v/>
      </c>
      <c r="F27" s="37">
        <f>F22-F24</f>
        <v/>
      </c>
      <c r="G27" s="37">
        <f>G22-G24</f>
        <v/>
      </c>
      <c r="H27" s="37">
        <f>H22-H24</f>
        <v/>
      </c>
      <c r="I27" s="37">
        <f>I22-I24</f>
        <v/>
      </c>
      <c r="J27" s="37">
        <f>J22-J24</f>
        <v/>
      </c>
      <c r="K27" s="37">
        <f>K22-K24</f>
        <v/>
      </c>
    </row>
    <row r="30">
      <c r="B30" s="5" t="inlineStr">
        <is>
          <t>CASH FLOW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4" t="n"/>
    </row>
    <row r="32">
      <c r="B32" t="inlineStr">
        <is>
          <t>EBITDA</t>
        </is>
      </c>
      <c r="C32" s="13">
        <f>C13</f>
        <v/>
      </c>
      <c r="D32" s="13">
        <f>D13</f>
        <v/>
      </c>
      <c r="E32" s="13">
        <f>E13</f>
        <v/>
      </c>
      <c r="F32" s="13">
        <f>F13</f>
        <v/>
      </c>
      <c r="G32" s="13">
        <f>G13</f>
        <v/>
      </c>
      <c r="H32" s="13">
        <f>H13</f>
        <v/>
      </c>
      <c r="I32" s="13">
        <f>I13</f>
        <v/>
      </c>
      <c r="J32" s="13">
        <f>J13</f>
        <v/>
      </c>
      <c r="K32" s="13">
        <f>K13</f>
        <v/>
      </c>
    </row>
    <row r="33">
      <c r="B33" t="inlineStr">
        <is>
          <t>Less: Cash Taxes</t>
        </is>
      </c>
      <c r="C33" s="13">
        <f>-C24</f>
        <v/>
      </c>
      <c r="D33" s="13">
        <f>-D24</f>
        <v/>
      </c>
      <c r="E33" s="13">
        <f>-E24</f>
        <v/>
      </c>
      <c r="F33" s="13">
        <f>-F24</f>
        <v/>
      </c>
      <c r="G33" s="13">
        <f>-G24</f>
        <v/>
      </c>
      <c r="H33" s="13">
        <f>-H24</f>
        <v/>
      </c>
      <c r="I33" s="13">
        <f>-I24</f>
        <v/>
      </c>
      <c r="J33" s="13">
        <f>-J24</f>
        <v/>
      </c>
      <c r="K33" s="13">
        <f>-K24</f>
        <v/>
      </c>
    </row>
    <row r="34">
      <c r="B34" t="inlineStr">
        <is>
          <t>Less: Interest</t>
        </is>
      </c>
      <c r="C34" s="13">
        <f>-C20</f>
        <v/>
      </c>
      <c r="D34" s="13">
        <f>-D20</f>
        <v/>
      </c>
      <c r="E34" s="13">
        <f>-E20</f>
        <v/>
      </c>
      <c r="F34" s="13">
        <f>-F20</f>
        <v/>
      </c>
      <c r="G34" s="13">
        <f>-G20</f>
        <v/>
      </c>
      <c r="H34" s="13">
        <f>-H20</f>
        <v/>
      </c>
      <c r="I34" s="13">
        <f>-I20</f>
        <v/>
      </c>
      <c r="J34" s="13">
        <f>-J20</f>
        <v/>
      </c>
      <c r="K34" s="13">
        <f>-K20</f>
        <v/>
      </c>
    </row>
    <row r="35">
      <c r="B35" t="inlineStr">
        <is>
          <t>Less: CapEx</t>
        </is>
      </c>
      <c r="C35" s="24">
        <f>-C10*C36</f>
        <v/>
      </c>
      <c r="D35" s="24">
        <f>-D10*D36</f>
        <v/>
      </c>
      <c r="E35" s="24">
        <f>-E10*E36</f>
        <v/>
      </c>
      <c r="F35" s="24">
        <f>-F10*F36</f>
        <v/>
      </c>
      <c r="G35" s="24">
        <f>-G10*G36</f>
        <v/>
      </c>
      <c r="H35" s="24">
        <f>-H10*H36</f>
        <v/>
      </c>
      <c r="I35" s="24">
        <f>-I10*I36</f>
        <v/>
      </c>
      <c r="J35" s="24">
        <f>-J10*J36</f>
        <v/>
      </c>
      <c r="K35" s="24">
        <f>-K10*K36</f>
        <v/>
      </c>
    </row>
    <row r="36">
      <c r="B36" t="inlineStr">
        <is>
          <t>CapEx % of Revenue</t>
        </is>
      </c>
      <c r="C36" s="26" t="n">
        <v>0.03</v>
      </c>
      <c r="D36" s="26" t="n">
        <v>0.03</v>
      </c>
      <c r="E36" s="26" t="n">
        <v>0.03</v>
      </c>
      <c r="F36" s="26" t="n">
        <v>0.03</v>
      </c>
      <c r="G36" s="26" t="n">
        <v>0.03</v>
      </c>
      <c r="H36" s="26" t="n">
        <v>0.03</v>
      </c>
      <c r="I36" s="26" t="n">
        <v>0.03</v>
      </c>
      <c r="J36" s="26" t="n">
        <v>0.03</v>
      </c>
      <c r="K36" s="26" t="n">
        <v>0.03</v>
      </c>
    </row>
    <row r="38">
      <c r="B38" t="inlineStr">
        <is>
          <t>Less: Change in NWC</t>
        </is>
      </c>
      <c r="C38" s="24">
        <f>0</f>
        <v/>
      </c>
      <c r="D38" s="24">
        <f>-(D10*D39-C10*C39)</f>
        <v/>
      </c>
      <c r="E38" s="24">
        <f>-(E10*E39-D10*D39)</f>
        <v/>
      </c>
      <c r="F38" s="24">
        <f>-(F10*F39-E10*E39)</f>
        <v/>
      </c>
      <c r="G38" s="24">
        <f>-(G10*G39-F10*F39)</f>
        <v/>
      </c>
      <c r="H38" s="24">
        <f>-(H10*H39-G10*G39)</f>
        <v/>
      </c>
      <c r="I38" s="24">
        <f>-(I10*I39-H10*H39)</f>
        <v/>
      </c>
      <c r="J38" s="24">
        <f>-(J10*J39-I10*I39)</f>
        <v/>
      </c>
      <c r="K38" s="24">
        <f>-(K10*K39-J10*J39)</f>
        <v/>
      </c>
    </row>
    <row r="39">
      <c r="B39" t="inlineStr">
        <is>
          <t>NWC % of Revenue</t>
        </is>
      </c>
      <c r="C39" s="26" t="n">
        <v>0.1</v>
      </c>
      <c r="D39" s="26" t="n">
        <v>0.1</v>
      </c>
      <c r="E39" s="26" t="n">
        <v>0.1</v>
      </c>
      <c r="F39" s="26" t="n">
        <v>0.1</v>
      </c>
      <c r="G39" s="26" t="n">
        <v>0.1</v>
      </c>
      <c r="H39" s="26" t="n">
        <v>0.1</v>
      </c>
      <c r="I39" s="26" t="n">
        <v>0.1</v>
      </c>
      <c r="J39" s="26" t="n">
        <v>0.1</v>
      </c>
      <c r="K39" s="26" t="n">
        <v>0.1</v>
      </c>
    </row>
    <row r="41">
      <c r="B41" t="inlineStr">
        <is>
          <t>Free Cash Flow</t>
        </is>
      </c>
      <c r="C41" s="37">
        <f>SUM(C32:C38)</f>
        <v/>
      </c>
      <c r="D41" s="37">
        <f>SUM(D32:D38)</f>
        <v/>
      </c>
      <c r="E41" s="37">
        <f>SUM(E32:E38)</f>
        <v/>
      </c>
      <c r="F41" s="37">
        <f>SUM(F32:F38)</f>
        <v/>
      </c>
      <c r="G41" s="37">
        <f>SUM(G32:G38)</f>
        <v/>
      </c>
      <c r="H41" s="37">
        <f>SUM(H32:H38)</f>
        <v/>
      </c>
      <c r="I41" s="37">
        <f>SUM(I32:I38)</f>
        <v/>
      </c>
      <c r="J41" s="37">
        <f>SUM(J32:J38)</f>
        <v/>
      </c>
      <c r="K41" s="37">
        <f>SUM(K32:K38)</f>
        <v/>
      </c>
    </row>
    <row r="51">
      <c r="B51" t="inlineStr">
        <is>
          <t>FCF to Debt Schedule</t>
        </is>
      </c>
      <c r="C51" s="24">
        <f>C41</f>
        <v/>
      </c>
      <c r="D51" s="24">
        <f>D41</f>
        <v/>
      </c>
      <c r="E51" s="24">
        <f>E41</f>
        <v/>
      </c>
      <c r="F51" s="24">
        <f>F41</f>
        <v/>
      </c>
      <c r="G51" s="24">
        <f>G41</f>
        <v/>
      </c>
      <c r="H51" s="24">
        <f>H41</f>
        <v/>
      </c>
      <c r="I51" s="24">
        <f>I41</f>
        <v/>
      </c>
      <c r="J51" s="24">
        <f>J41</f>
        <v/>
      </c>
      <c r="K51" s="24">
        <f>K41</f>
        <v/>
      </c>
    </row>
    <row r="54">
      <c r="B54" s="12" t="inlineStr">
        <is>
          <t>CREDIT METRICS</t>
        </is>
      </c>
      <c r="C54" s="36" t="n"/>
      <c r="D54" s="36" t="n"/>
      <c r="E54" s="36" t="n"/>
      <c r="F54" s="36" t="n"/>
      <c r="G54" s="36" t="n"/>
      <c r="H54" s="36" t="n"/>
      <c r="I54" s="36" t="n"/>
      <c r="J54" s="36" t="n"/>
      <c r="K54" s="4" t="n"/>
    </row>
    <row r="56">
      <c r="B56" t="inlineStr">
        <is>
          <t>Total Debt / EBITDA</t>
        </is>
      </c>
      <c r="C56" s="10">
        <f>'Debt Schedule'!C42/C13</f>
        <v/>
      </c>
      <c r="D56" s="10">
        <f>'Debt Schedule'!D42/D13</f>
        <v/>
      </c>
      <c r="E56" s="10">
        <f>'Debt Schedule'!E42/E13</f>
        <v/>
      </c>
      <c r="F56" s="10">
        <f>'Debt Schedule'!F42/F13</f>
        <v/>
      </c>
      <c r="G56" s="10">
        <f>'Debt Schedule'!G42/G13</f>
        <v/>
      </c>
      <c r="H56" s="10">
        <f>'Debt Schedule'!H42/H13</f>
        <v/>
      </c>
      <c r="I56" s="10">
        <f>'Debt Schedule'!I42/I13</f>
        <v/>
      </c>
      <c r="J56" s="10">
        <f>'Debt Schedule'!J42/J13</f>
        <v/>
      </c>
      <c r="K56" s="10">
        <f>'Debt Schedule'!K42/K13</f>
        <v/>
      </c>
    </row>
    <row r="57">
      <c r="B57" t="inlineStr">
        <is>
          <t>EBITDA / Interest</t>
        </is>
      </c>
      <c r="C57" s="25">
        <f>IF(C20&gt;0,C13/C20,0)</f>
        <v/>
      </c>
      <c r="D57" s="25">
        <f>IF(D20&gt;0,D13/D20,0)</f>
        <v/>
      </c>
      <c r="E57" s="25">
        <f>IF(E20&gt;0,E13/E20,0)</f>
        <v/>
      </c>
      <c r="F57" s="25">
        <f>IF(F20&gt;0,F13/F20,0)</f>
        <v/>
      </c>
      <c r="G57" s="25">
        <f>IF(G20&gt;0,G13/G20,0)</f>
        <v/>
      </c>
      <c r="H57" s="25">
        <f>IF(H20&gt;0,H13/H20,0)</f>
        <v/>
      </c>
      <c r="I57" s="25">
        <f>IF(I20&gt;0,I13/I20,0)</f>
        <v/>
      </c>
      <c r="J57" s="25">
        <f>IF(J20&gt;0,J13/J20,0)</f>
        <v/>
      </c>
      <c r="K57" s="25">
        <f>IF(K20&gt;0,K13/K20,0)</f>
        <v/>
      </c>
    </row>
    <row r="58">
      <c r="B58" t="inlineStr">
        <is>
          <t>EBIT / Interest</t>
        </is>
      </c>
      <c r="C58" s="25">
        <f>IF(C20&gt;0,C18/C20,0)</f>
        <v/>
      </c>
      <c r="D58" s="25">
        <f>IF(D20&gt;0,D18/D20,0)</f>
        <v/>
      </c>
      <c r="E58" s="25">
        <f>IF(E20&gt;0,E18/E20,0)</f>
        <v/>
      </c>
      <c r="F58" s="25">
        <f>IF(F20&gt;0,F18/F20,0)</f>
        <v/>
      </c>
      <c r="G58" s="25">
        <f>IF(G20&gt;0,G18/G20,0)</f>
        <v/>
      </c>
      <c r="H58" s="25">
        <f>IF(H20&gt;0,H18/H20,0)</f>
        <v/>
      </c>
      <c r="I58" s="25">
        <f>IF(I20&gt;0,I18/I20,0)</f>
        <v/>
      </c>
      <c r="J58" s="25">
        <f>IF(J20&gt;0,J18/J20,0)</f>
        <v/>
      </c>
      <c r="K58" s="25">
        <f>IF(K20&gt;0,K18/K20,0)</f>
        <v/>
      </c>
    </row>
  </sheetData>
  <mergeCells count="3">
    <mergeCell ref="B54:K54"/>
    <mergeCell ref="B8:K8"/>
    <mergeCell ref="B30:K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" customWidth="1" min="4" max="4"/>
    <col width="30" customWidth="1" min="5" max="5"/>
    <col width="18" customWidth="1" min="6" max="6"/>
  </cols>
  <sheetData>
    <row r="2">
      <c r="B2" s="15" t="inlineStr">
        <is>
          <t>RETURNS ANALYSIS</t>
        </is>
      </c>
    </row>
    <row r="3">
      <c r="B3" s="16" t="inlineStr">
        <is>
          <t>IRR, MOIC &amp; Exit Valuation</t>
        </is>
      </c>
    </row>
    <row r="6">
      <c r="B6" s="3" t="inlineStr">
        <is>
          <t>INVESTMENT SUMMARY</t>
        </is>
      </c>
      <c r="C6" s="4" t="n"/>
      <c r="E6" s="12" t="inlineStr">
        <is>
          <t>DEBT PAYDOWN</t>
        </is>
      </c>
      <c r="F6" s="4" t="n"/>
    </row>
    <row r="8">
      <c r="B8" t="inlineStr">
        <is>
          <t>Transaction Date</t>
        </is>
      </c>
      <c r="C8" s="14">
        <f>'Transaction Assumptions'!C9</f>
        <v/>
      </c>
      <c r="E8" t="inlineStr">
        <is>
          <t>Initial Debt</t>
        </is>
      </c>
      <c r="F8" s="13">
        <f>'Debt Schedule'!C42</f>
        <v/>
      </c>
    </row>
    <row r="9">
      <c r="B9" t="inlineStr">
        <is>
          <t>Exit Date</t>
        </is>
      </c>
      <c r="C9" s="14">
        <f>'Transaction Assumptions'!C11</f>
        <v/>
      </c>
      <c r="E9" t="inlineStr">
        <is>
          <t>Ending Debt</t>
        </is>
      </c>
      <c r="F9" s="13">
        <f>'Debt Schedule'!K42</f>
        <v/>
      </c>
    </row>
    <row r="10">
      <c r="B10" t="inlineStr">
        <is>
          <t>Holding Period (Years)</t>
        </is>
      </c>
      <c r="C10" s="38">
        <f>'Transaction Assumptions'!C10</f>
        <v/>
      </c>
      <c r="E10" t="inlineStr">
        <is>
          <t>Total Debt Paydown</t>
        </is>
      </c>
      <c r="F10" s="30">
        <f>F8-F9</f>
        <v/>
      </c>
    </row>
    <row r="11">
      <c r="E11" t="inlineStr">
        <is>
          <t>% of Initial Debt Paid</t>
        </is>
      </c>
      <c r="F11" s="22">
        <f>F10/F8</f>
        <v/>
      </c>
    </row>
    <row r="12">
      <c r="B12" t="inlineStr">
        <is>
          <t>Initial Equity Investment</t>
        </is>
      </c>
    </row>
    <row r="13">
      <c r="B13" t="inlineStr">
        <is>
          <t xml:space="preserve">  Sponsor Equity</t>
        </is>
      </c>
      <c r="C13" s="13">
        <f>'Sources &amp; Uses'!C17</f>
        <v/>
      </c>
    </row>
    <row r="14">
      <c r="B14" t="inlineStr">
        <is>
          <t xml:space="preserve">  Management Rollover</t>
        </is>
      </c>
      <c r="C14" s="13">
        <f>'Sources &amp; Uses'!C18</f>
        <v/>
      </c>
    </row>
    <row r="15">
      <c r="B15" t="inlineStr">
        <is>
          <t>Total Equity Investment</t>
        </is>
      </c>
      <c r="C15" s="30">
        <f>C13+C14</f>
        <v/>
      </c>
    </row>
    <row r="18">
      <c r="B18" s="5" t="inlineStr">
        <is>
          <t>EXIT VALUATION</t>
        </is>
      </c>
      <c r="C18" s="4" t="n"/>
    </row>
    <row r="20">
      <c r="B20" t="inlineStr">
        <is>
          <t>Exit Year EBITDA</t>
        </is>
      </c>
      <c r="C20" s="13">
        <f>'Financial Statements'!K13</f>
        <v/>
      </c>
    </row>
    <row r="21">
      <c r="B21" t="inlineStr">
        <is>
          <t>Exit EV / EBITDA Multiple</t>
        </is>
      </c>
      <c r="C21" s="10">
        <f>'Transaction Assumptions'!C48</f>
        <v/>
      </c>
    </row>
    <row r="23">
      <c r="B23" t="inlineStr">
        <is>
          <t>Exit Enterprise Value</t>
        </is>
      </c>
      <c r="C23" s="30">
        <f>C20*C21</f>
        <v/>
      </c>
    </row>
    <row r="25">
      <c r="B25" t="inlineStr">
        <is>
          <t>Less: Net Debt at Exit</t>
        </is>
      </c>
      <c r="C25" s="13">
        <f>'Debt Schedule'!K42</f>
        <v/>
      </c>
      <c r="E25" t="inlineStr">
        <is>
          <t>Debt Paydown (for Exec)</t>
        </is>
      </c>
      <c r="F25" s="24">
        <f>F10</f>
        <v/>
      </c>
    </row>
    <row r="26">
      <c r="B26" t="inlineStr">
        <is>
          <t>Exit Equity Value</t>
        </is>
      </c>
      <c r="C26" s="37">
        <f>C23-C25</f>
        <v/>
      </c>
    </row>
    <row r="29">
      <c r="B29" s="3" t="inlineStr">
        <is>
          <t>RETURNS TO EQUITY</t>
        </is>
      </c>
      <c r="C29" s="4" t="n"/>
    </row>
    <row r="31">
      <c r="B31" t="inlineStr">
        <is>
          <t>Equity IRR</t>
        </is>
      </c>
      <c r="C31" s="39">
        <f>IRR({-C15,0,0,0,0,C26})</f>
        <v/>
      </c>
    </row>
    <row r="32">
      <c r="B32" t="inlineStr">
        <is>
          <t>Equity Multiple (MOIC)</t>
        </is>
      </c>
      <c r="C32" s="40">
        <f>C26/C15</f>
        <v/>
      </c>
    </row>
    <row r="33">
      <c r="B33" t="inlineStr">
        <is>
          <t>Total Cash Return ($)</t>
        </is>
      </c>
      <c r="C33" s="24">
        <f>C26-C15</f>
        <v/>
      </c>
    </row>
    <row r="34">
      <c r="B34" t="inlineStr">
        <is>
          <t>Total % Return</t>
        </is>
      </c>
      <c r="C34" s="22">
        <f>(C26-C15)/C15</f>
        <v/>
      </c>
    </row>
    <row r="35">
      <c r="B35" t="inlineStr">
        <is>
          <t>Exit Enterprise Value (Link)</t>
        </is>
      </c>
      <c r="C35" s="24">
        <f>C23</f>
        <v/>
      </c>
    </row>
    <row r="36">
      <c r="B36" t="inlineStr">
        <is>
          <t>Net Debt at Exit (Link)</t>
        </is>
      </c>
      <c r="C36" s="24">
        <f>C25</f>
        <v/>
      </c>
    </row>
    <row r="37">
      <c r="B37" t="inlineStr">
        <is>
          <t>Exit Equity Value (Link)</t>
        </is>
      </c>
      <c r="C37" s="24">
        <f>C26</f>
        <v/>
      </c>
    </row>
    <row r="42">
      <c r="B42" t="inlineStr">
        <is>
          <t>IRR (for Exec Summary)</t>
        </is>
      </c>
      <c r="C42" s="41">
        <f>C31</f>
        <v/>
      </c>
    </row>
    <row r="43">
      <c r="B43" t="inlineStr">
        <is>
          <t>MOIC (for Exec Summary)</t>
        </is>
      </c>
      <c r="C43" s="25">
        <f>C32</f>
        <v/>
      </c>
    </row>
    <row r="44">
      <c r="B44" t="inlineStr">
        <is>
          <t>Cash Return (for Exec Summary)</t>
        </is>
      </c>
      <c r="C44" s="24">
        <f>C33</f>
        <v/>
      </c>
    </row>
    <row r="45">
      <c r="B45" t="inlineStr">
        <is>
          <t>% Return (for Exec Summary)</t>
        </is>
      </c>
      <c r="C45" s="22">
        <f>C34</f>
        <v/>
      </c>
    </row>
  </sheetData>
  <mergeCells count="4">
    <mergeCell ref="B18:C18"/>
    <mergeCell ref="B6:C6"/>
    <mergeCell ref="E6:F6"/>
    <mergeCell ref="B29:C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5" t="inlineStr">
        <is>
          <t>SENSITIVITY ANALYSIS</t>
        </is>
      </c>
    </row>
    <row r="5">
      <c r="B5" s="3" t="inlineStr">
        <is>
          <t>EXIT MULTIPLE vs ENTRY MULTIPLE SENSITIVITY</t>
        </is>
      </c>
      <c r="C5" s="36" t="n"/>
      <c r="D5" s="36" t="n"/>
      <c r="E5" s="36" t="n"/>
      <c r="F5" s="36" t="n"/>
      <c r="G5" s="36" t="n"/>
      <c r="H5" s="4" t="n"/>
    </row>
    <row r="7">
      <c r="B7" t="inlineStr">
        <is>
          <t>Entry Multiple →</t>
        </is>
      </c>
      <c r="E7" s="25">
        <f>8.0</f>
        <v/>
      </c>
      <c r="F7" s="25">
        <f>9.0</f>
        <v/>
      </c>
      <c r="G7" s="25">
        <f>10.0</f>
        <v/>
      </c>
      <c r="H7" s="25">
        <f>11.0</f>
        <v/>
      </c>
      <c r="I7" s="25">
        <f>12.0</f>
        <v/>
      </c>
    </row>
    <row r="8">
      <c r="B8" s="25">
        <f>8.0</f>
        <v/>
      </c>
      <c r="C8" s="27" t="inlineStr">
        <is>
          <t>IRR values will be calculated with data tables</t>
        </is>
      </c>
    </row>
    <row r="9">
      <c r="B9" s="25">
        <f>9.0</f>
        <v/>
      </c>
    </row>
    <row r="10">
      <c r="B10" s="25">
        <f>10.0</f>
        <v/>
      </c>
    </row>
    <row r="11">
      <c r="B11" s="25">
        <f>11.0</f>
        <v/>
      </c>
    </row>
    <row r="12">
      <c r="B12" s="25">
        <f>12.0</f>
        <v/>
      </c>
    </row>
    <row r="14">
      <c r="B14" s="5" t="inlineStr">
        <is>
          <t>EBITDA GROWTH vs EXIT MULTIPLE SENSITIVITY</t>
        </is>
      </c>
      <c r="C14" s="36" t="n"/>
      <c r="D14" s="36" t="n"/>
      <c r="E14" s="36" t="n"/>
      <c r="F14" s="36" t="n"/>
      <c r="G14" s="36" t="n"/>
      <c r="H14" s="4" t="n"/>
    </row>
    <row r="16">
      <c r="B16" t="inlineStr">
        <is>
          <t>EBITDA CAGR →</t>
        </is>
      </c>
    </row>
    <row r="17">
      <c r="B17" t="inlineStr">
        <is>
          <t>Exit Multiple ↓</t>
        </is>
      </c>
    </row>
  </sheetData>
  <mergeCells count="2">
    <mergeCell ref="B14:H14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40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</cols>
  <sheetData>
    <row r="2">
      <c r="B2" s="15" t="inlineStr">
        <is>
          <t>DISTRIBUTION WATERFALL</t>
        </is>
      </c>
    </row>
    <row r="3">
      <c r="B3" s="16" t="inlineStr">
        <is>
          <t>European-Style Waterfall with Preferred Return</t>
        </is>
      </c>
    </row>
    <row r="6">
      <c r="B6" s="3" t="inlineStr">
        <is>
          <t>WATERFALL ASSUMPTIONS</t>
        </is>
      </c>
      <c r="C6" s="4" t="n"/>
    </row>
    <row r="8">
      <c r="B8" t="inlineStr">
        <is>
          <t>Preferred Return (IRR Hurdle)</t>
        </is>
      </c>
      <c r="C8" s="26" t="n">
        <v>0.08</v>
      </c>
    </row>
    <row r="9">
      <c r="B9" t="inlineStr">
        <is>
          <t>GP Catch-Up %</t>
        </is>
      </c>
      <c r="C9" s="26" t="n">
        <v>1</v>
      </c>
    </row>
    <row r="10">
      <c r="B10" t="inlineStr">
        <is>
          <t>Carried Interest %</t>
        </is>
      </c>
      <c r="C10" s="26" t="n">
        <v>0.2</v>
      </c>
    </row>
    <row r="11">
      <c r="B11" t="inlineStr">
        <is>
          <t>LP Share (after catch-up)</t>
        </is>
      </c>
      <c r="C11" s="22">
        <f>1-C10</f>
        <v/>
      </c>
    </row>
    <row r="14">
      <c r="B14" s="5" t="inlineStr">
        <is>
          <t>DISTRIBUTION CALCULATION</t>
        </is>
      </c>
      <c r="C14" s="4" t="n"/>
    </row>
    <row r="16">
      <c r="B16" t="inlineStr">
        <is>
          <t>Total Distributions Available</t>
        </is>
      </c>
      <c r="C16" s="13">
        <f>'Returns Analysis'!C26</f>
        <v/>
      </c>
    </row>
    <row r="18">
      <c r="B18" t="inlineStr">
        <is>
          <t>1. Return of Capital to LPs</t>
        </is>
      </c>
      <c r="C18" s="13">
        <f>'Returns Analysis'!C15</f>
        <v/>
      </c>
    </row>
    <row r="19">
      <c r="B19" t="inlineStr">
        <is>
          <t>Remaining for Distribution</t>
        </is>
      </c>
      <c r="C19" s="24">
        <f>C16-C18</f>
        <v/>
      </c>
    </row>
    <row r="21">
      <c r="B21" t="inlineStr">
        <is>
          <t>2. Preferred Return to LPs (8%)</t>
        </is>
      </c>
      <c r="C21" s="24">
        <f>C18*((1+C8)^'Returns Analysis'!C10-1)</f>
        <v/>
      </c>
    </row>
    <row r="22">
      <c r="B22" t="inlineStr">
        <is>
          <t>Remaining after Pref Return</t>
        </is>
      </c>
      <c r="C22" s="24">
        <f>C19-C21</f>
        <v/>
      </c>
    </row>
    <row r="24">
      <c r="B24" t="inlineStr">
        <is>
          <t>3. GP Catch-Up (100%)</t>
        </is>
      </c>
      <c r="C24" s="24">
        <f>MIN(C22,(C18+C21)*C10/(1-C10))</f>
        <v/>
      </c>
    </row>
    <row r="25">
      <c r="B25" t="inlineStr">
        <is>
          <t>Remaining after Catch-Up</t>
        </is>
      </c>
      <c r="C25" s="24">
        <f>C22-C24</f>
        <v/>
      </c>
    </row>
    <row r="27">
      <c r="B27" t="inlineStr">
        <is>
          <t>4. Carried Interest Split:</t>
        </is>
      </c>
    </row>
    <row r="28">
      <c r="B28" t="inlineStr">
        <is>
          <t xml:space="preserve">   To GP (20%)</t>
        </is>
      </c>
      <c r="C28" s="24">
        <f>C25*C10</f>
        <v/>
      </c>
    </row>
    <row r="29">
      <c r="B29" t="inlineStr">
        <is>
          <t xml:space="preserve">   To LPs (80%)</t>
        </is>
      </c>
      <c r="C29" s="24">
        <f>C25*C11</f>
        <v/>
      </c>
    </row>
    <row r="32">
      <c r="B32" s="3" t="inlineStr">
        <is>
          <t>FINAL DISTRIBUTION SUMMARY</t>
        </is>
      </c>
      <c r="C32" s="4" t="n"/>
    </row>
    <row r="34">
      <c r="B34" t="inlineStr">
        <is>
          <t>Total to LPs</t>
        </is>
      </c>
      <c r="C34" s="37">
        <f>C18+C21+C29</f>
        <v/>
      </c>
    </row>
    <row r="35">
      <c r="B35" t="inlineStr">
        <is>
          <t>Total to GP</t>
        </is>
      </c>
      <c r="C35" s="30">
        <f>C24+C28</f>
        <v/>
      </c>
    </row>
    <row r="37">
      <c r="B37" t="inlineStr">
        <is>
          <t>LP % of Total</t>
        </is>
      </c>
      <c r="C37" s="22">
        <f>C34/C16</f>
        <v/>
      </c>
    </row>
    <row r="38">
      <c r="B38" t="inlineStr">
        <is>
          <t>GP % of Total (Carry)</t>
        </is>
      </c>
      <c r="C38" s="22">
        <f>C35/C16</f>
        <v/>
      </c>
    </row>
    <row r="40">
      <c r="B40" t="inlineStr">
        <is>
          <t>Check (should = 0)</t>
        </is>
      </c>
      <c r="C40" s="34">
        <f>C16-C34-C35</f>
        <v/>
      </c>
    </row>
  </sheetData>
  <mergeCells count="3">
    <mergeCell ref="B6:C6"/>
    <mergeCell ref="B14:C14"/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2025-10-28T22:28:35Z</dcterms:created>
  <dcterms:modified xmlns:dcterms="http://purl.org/dc/terms/" xmlns:xsi="http://www.w3.org/2001/XMLSchema-instance" xsi:type="dcterms:W3CDTF">2025-10-28T22:32:55Z</dcterms:modified>
</cp:coreProperties>
</file>