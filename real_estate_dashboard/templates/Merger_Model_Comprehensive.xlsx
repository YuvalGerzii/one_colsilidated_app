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nsaction Assumptions" sheetId="2" state="visible" r:id="rId2"/>
    <sheet xmlns:r="http://schemas.openxmlformats.org/officeDocument/2006/relationships" name="Sources &amp; Uses" sheetId="3" state="visible" r:id="rId3"/>
    <sheet xmlns:r="http://schemas.openxmlformats.org/officeDocument/2006/relationships" name="Pro Forma Balance Sheet" sheetId="4" state="visible" r:id="rId4"/>
    <sheet xmlns:r="http://schemas.openxmlformats.org/officeDocument/2006/relationships" name="Purchase Price Allocation" sheetId="5" state="visible" r:id="rId5"/>
    <sheet xmlns:r="http://schemas.openxmlformats.org/officeDocument/2006/relationships" name="Pro Forma Income Statement" sheetId="6" state="visible" r:id="rId6"/>
    <sheet xmlns:r="http://schemas.openxmlformats.org/officeDocument/2006/relationships" name="Accretion Dilution" sheetId="7" state="visible" r:id="rId7"/>
    <sheet xmlns:r="http://schemas.openxmlformats.org/officeDocument/2006/relationships" name="Synergies" sheetId="8" state="visible" r:id="rId8"/>
    <sheet xmlns:r="http://schemas.openxmlformats.org/officeDocument/2006/relationships" name="Sensitivity Analysis" sheetId="9" state="visible" r:id="rId9"/>
    <sheet xmlns:r="http://schemas.openxmlformats.org/officeDocument/2006/relationships" name="Instructions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1">
    <numFmt numFmtId="164" formatCode="mm/dd/yyyy"/>
    <numFmt numFmtId="165" formatCode="\$#,##0;&quot;($&quot;#,##0\);\-"/>
    <numFmt numFmtId="166" formatCode="#,##0.0"/>
    <numFmt numFmtId="167" formatCode="\$0.00"/>
    <numFmt numFmtId="168" formatCode="0.0%"/>
    <numFmt numFmtId="169" formatCode="0.0\x"/>
    <numFmt numFmtId="170" formatCode="0.0000"/>
    <numFmt numFmtId="171" formatCode="$#,##0"/>
    <numFmt numFmtId="172" formatCode="$#,##0;($#,##0);-"/>
    <numFmt numFmtId="173" formatCode="$0.00"/>
    <numFmt numFmtId="174" formatCode="0.0x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color rgb="FF000000"/>
      <sz val="11"/>
    </font>
    <font>
      <name val="Cambria"/>
      <charset val="1"/>
      <family val="0"/>
      <color rgb="FF008000"/>
      <sz val="11"/>
    </font>
    <font>
      <name val="Cambria"/>
      <charset val="1"/>
      <family val="0"/>
      <b val="1"/>
      <i val="1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i val="1"/>
      <sz val="11"/>
    </font>
    <font>
      <b val="1"/>
      <color rgb="00FFFFFF"/>
      <sz val="11"/>
    </font>
    <font>
      <b val="1"/>
      <color rgb="00FFFFFF"/>
      <sz val="10"/>
    </font>
    <font>
      <color rgb="00008000"/>
      <sz val="10"/>
    </font>
    <font>
      <color rgb="000000FF"/>
      <sz val="10"/>
    </font>
    <font>
      <color rgb="00000000"/>
      <sz val="10"/>
    </font>
    <font>
      <b val="1"/>
    </font>
    <font>
      <b val="1"/>
      <sz val="11"/>
    </font>
    <font>
      <b val="1"/>
      <sz val="10"/>
    </font>
    <font/>
    <font>
      <b val="1"/>
      <color rgb="00FF0000"/>
      <sz val="12"/>
    </font>
    <font>
      <i val="1"/>
      <sz val="9"/>
    </font>
  </fonts>
  <fills count="14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CE6F1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339966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E2EFDA"/>
      </patternFill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bottom"/>
    </xf>
    <xf numFmtId="164" fontId="6" fillId="4" borderId="0" applyAlignment="1" pivotButton="0" quotePrefix="0" xfId="0">
      <alignment horizontal="right" vertical="bottom"/>
    </xf>
    <xf numFmtId="165" fontId="6" fillId="4" borderId="0" applyAlignment="1" pivotButton="0" quotePrefix="0" xfId="0">
      <alignment horizontal="right" vertical="bottom"/>
    </xf>
    <xf numFmtId="166" fontId="6" fillId="4" borderId="0" applyAlignment="1" pivotButton="0" quotePrefix="0" xfId="0">
      <alignment horizontal="right" vertical="bottom"/>
    </xf>
    <xf numFmtId="165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7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8" fontId="6" fillId="4" borderId="0" applyAlignment="1" pivotButton="0" quotePrefix="0" xfId="0">
      <alignment horizontal="right" vertical="bottom"/>
    </xf>
    <xf numFmtId="170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" fontId="6" fillId="4" borderId="0" applyAlignment="1" pivotButton="0" quotePrefix="0" xfId="0">
      <alignment horizontal="right" vertical="bottom"/>
    </xf>
    <xf numFmtId="0" fontId="10" fillId="5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165" fontId="7" fillId="7" borderId="0" applyAlignment="1" pivotButton="0" quotePrefix="0" xfId="0">
      <alignment horizontal="general" vertical="bottom"/>
    </xf>
    <xf numFmtId="165" fontId="7" fillId="8" borderId="0" applyAlignment="1" pivotButton="0" quotePrefix="0" xfId="0">
      <alignment horizontal="general" vertical="bottom"/>
    </xf>
    <xf numFmtId="165" fontId="5" fillId="7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5" fontId="5" fillId="8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168" fontId="8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2" fillId="9" borderId="0" applyAlignment="1" pivotButton="0" quotePrefix="0" xfId="0">
      <alignment horizontal="center" vertical="center"/>
    </xf>
    <xf numFmtId="0" fontId="18" fillId="0" borderId="0" pivotButton="0" quotePrefix="0" xfId="0"/>
    <xf numFmtId="0" fontId="13" fillId="10" borderId="0" applyAlignment="1" pivotButton="0" quotePrefix="0" xfId="0">
      <alignment horizontal="left" vertical="center"/>
    </xf>
    <xf numFmtId="0" fontId="14" fillId="0" borderId="0" pivotButton="0" quotePrefix="0" xfId="0"/>
    <xf numFmtId="168" fontId="14" fillId="0" borderId="0" pivotButton="0" quotePrefix="0" xfId="0"/>
    <xf numFmtId="173" fontId="14" fillId="0" borderId="0" pivotButton="0" quotePrefix="0" xfId="0"/>
    <xf numFmtId="171" fontId="14" fillId="0" borderId="0" pivotButton="0" quotePrefix="0" xfId="0"/>
    <xf numFmtId="0" fontId="17" fillId="0" borderId="0" pivotButton="0" quotePrefix="0" xfId="0"/>
    <xf numFmtId="0" fontId="20" fillId="0" borderId="0" pivotButton="0" quotePrefix="0" xfId="0"/>
    <xf numFmtId="174" fontId="14" fillId="0" borderId="0" pivotButton="0" quotePrefix="0" xfId="0"/>
    <xf numFmtId="166" fontId="14" fillId="0" borderId="0" pivotButton="0" quotePrefix="0" xfId="0"/>
    <xf numFmtId="168" fontId="18" fillId="0" borderId="0" pivotButton="0" quotePrefix="0" xfId="0"/>
    <xf numFmtId="171" fontId="17" fillId="0" borderId="0" pivotButton="0" quotePrefix="0" xfId="0"/>
    <xf numFmtId="0" fontId="21" fillId="0" borderId="0" pivotButton="0" quotePrefix="0" xfId="0"/>
    <xf numFmtId="171" fontId="16" fillId="0" borderId="0" pivotButton="0" quotePrefix="0" xfId="0"/>
    <xf numFmtId="173" fontId="17" fillId="0" borderId="0" pivotButton="0" quotePrefix="0" xfId="0"/>
    <xf numFmtId="0" fontId="22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bottom"/>
    </xf>
    <xf numFmtId="164" fontId="6" fillId="4" borderId="0" applyAlignment="1" pivotButton="0" quotePrefix="0" xfId="0">
      <alignment horizontal="right" vertical="bottom"/>
    </xf>
    <xf numFmtId="165" fontId="6" fillId="4" borderId="0" applyAlignment="1" pivotButton="0" quotePrefix="0" xfId="0">
      <alignment horizontal="right" vertical="bottom"/>
    </xf>
    <xf numFmtId="166" fontId="6" fillId="4" borderId="0" applyAlignment="1" pivotButton="0" quotePrefix="0" xfId="0">
      <alignment horizontal="right" vertical="bottom"/>
    </xf>
    <xf numFmtId="165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7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8" fontId="6" fillId="4" borderId="0" applyAlignment="1" pivotButton="0" quotePrefix="0" xfId="0">
      <alignment horizontal="right" vertical="bottom"/>
    </xf>
    <xf numFmtId="170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" fontId="6" fillId="4" borderId="0" applyAlignment="1" pivotButton="0" quotePrefix="0" xfId="0">
      <alignment horizontal="right" vertical="bottom"/>
    </xf>
    <xf numFmtId="0" fontId="10" fillId="5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165" fontId="7" fillId="7" borderId="0" applyAlignment="1" pivotButton="0" quotePrefix="0" xfId="0">
      <alignment horizontal="general" vertical="bottom"/>
    </xf>
    <xf numFmtId="165" fontId="7" fillId="8" borderId="0" applyAlignment="1" pivotButton="0" quotePrefix="0" xfId="0">
      <alignment horizontal="general" vertical="bottom"/>
    </xf>
    <xf numFmtId="165" fontId="5" fillId="7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5" fontId="5" fillId="8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168" fontId="8" fillId="0" borderId="0" applyAlignment="1" pivotButton="0" quotePrefix="0" xfId="0">
      <alignment horizontal="general" vertical="bottom"/>
    </xf>
    <xf numFmtId="171" fontId="15" fillId="11" borderId="0" pivotButton="0" quotePrefix="0" xfId="0"/>
    <xf numFmtId="0" fontId="17" fillId="12" borderId="0" pivotButton="0" quotePrefix="0" xfId="0"/>
    <xf numFmtId="172" fontId="14" fillId="0" borderId="0" pivotButton="0" quotePrefix="0" xfId="0"/>
    <xf numFmtId="172" fontId="15" fillId="11" borderId="0" pivotButton="0" quotePrefix="0" xfId="0"/>
    <xf numFmtId="172" fontId="16" fillId="0" borderId="0" pivotButton="0" quotePrefix="0" xfId="0"/>
    <xf numFmtId="172" fontId="0" fillId="0" borderId="0" pivotButton="0" quotePrefix="0" xfId="0"/>
    <xf numFmtId="172" fontId="17" fillId="0" borderId="0" pivotButton="0" quotePrefix="0" xfId="0"/>
    <xf numFmtId="171" fontId="18" fillId="0" borderId="0" pivotButton="0" quotePrefix="0" xfId="0"/>
    <xf numFmtId="0" fontId="19" fillId="12" borderId="0" applyAlignment="1" pivotButton="0" quotePrefix="0" xfId="0">
      <alignment horizontal="center" vertical="center" wrapText="1"/>
    </xf>
    <xf numFmtId="166" fontId="16" fillId="0" borderId="0" pivotButton="0" quotePrefix="0" xfId="0"/>
    <xf numFmtId="166" fontId="0" fillId="0" borderId="0" pivotButton="0" quotePrefix="0" xfId="0"/>
    <xf numFmtId="173" fontId="0" fillId="0" borderId="0" pivotButton="0" quotePrefix="0" xfId="0"/>
    <xf numFmtId="173" fontId="16" fillId="0" borderId="0" pivotButton="0" quotePrefix="0" xfId="0"/>
    <xf numFmtId="168" fontId="16" fillId="0" borderId="0" pivotButton="0" quotePrefix="0" xfId="0"/>
    <xf numFmtId="0" fontId="17" fillId="12" borderId="0" applyAlignment="1" pivotButton="0" quotePrefix="0" xfId="0">
      <alignment horizontal="center"/>
    </xf>
    <xf numFmtId="9" fontId="15" fillId="11" borderId="0" pivotButton="0" quotePrefix="0" xfId="0"/>
    <xf numFmtId="0" fontId="16" fillId="0" borderId="0" pivotButton="0" quotePrefix="0" xfId="0"/>
    <xf numFmtId="9" fontId="17" fillId="0" borderId="0" applyAlignment="1" pivotButton="0" quotePrefix="0" xfId="0">
      <alignment horizontal="center"/>
    </xf>
    <xf numFmtId="168" fontId="16" fillId="13" borderId="0" pivotButton="0" quotePrefix="0" xfId="0"/>
    <xf numFmtId="171" fontId="17" fillId="0" borderId="0" applyAlignment="1" pivotButton="0" quotePrefix="0" xfId="0">
      <alignment horizontal="center"/>
    </xf>
    <xf numFmtId="173" fontId="17" fillId="0" borderId="0" applyAlignment="1" pivotButton="0" quotePrefix="0" xfId="0">
      <alignment horizontal="center"/>
    </xf>
    <xf numFmtId="170" fontId="17" fillId="0" borderId="0" pivotButton="0" quotePrefix="0" xfId="0"/>
    <xf numFmtId="0" fontId="15" fillId="11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9"/>
  <sheetViews>
    <sheetView workbookViewId="0">
      <selection activeCell="A1" sqref="A1"/>
    </sheetView>
  </sheetViews>
  <sheetFormatPr baseColWidth="8" defaultRowHeight="15"/>
  <cols>
    <col width="2" customWidth="1" style="31" min="1" max="1"/>
    <col width="30" customWidth="1" style="31" min="2" max="2"/>
    <col width="18" customWidth="1" style="31" min="3" max="3"/>
    <col width="2" customWidth="1" style="31" min="4" max="4"/>
    <col width="30" customWidth="1" style="31" min="5" max="5"/>
    <col width="18" customWidth="1" style="31" min="6" max="6"/>
    <col width="2" customWidth="1" style="31" min="7" max="7"/>
  </cols>
  <sheetData>
    <row r="2">
      <c r="B2" s="32" t="inlineStr">
        <is>
          <t>MERGER MODEL - EXECUTIVE SUMMARY</t>
        </is>
      </c>
    </row>
    <row r="4">
      <c r="B4" t="inlineStr">
        <is>
          <t>Acquirer:</t>
        </is>
      </c>
      <c r="C4" s="33">
        <f>'Transaction Assumptions'!C7</f>
        <v/>
      </c>
      <c r="E4" t="inlineStr">
        <is>
          <t>Target:</t>
        </is>
      </c>
      <c r="F4" s="33">
        <f>'Transaction Assumptions'!C8</f>
        <v/>
      </c>
    </row>
    <row r="6">
      <c r="B6" s="34" t="inlineStr">
        <is>
          <t>TRANSACTION OVERVIEW</t>
        </is>
      </c>
    </row>
    <row r="7">
      <c r="B7" t="inlineStr">
        <is>
          <t>Announcement Date:</t>
        </is>
      </c>
      <c r="C7" s="35">
        <f>'Transaction Assumptions'!C9</f>
        <v/>
      </c>
      <c r="E7" s="34" t="inlineStr">
        <is>
          <t>FINANCING STRUCTURE</t>
        </is>
      </c>
    </row>
    <row r="8">
      <c r="B8" t="inlineStr">
        <is>
          <t>Expected Close Date:</t>
        </is>
      </c>
      <c r="C8" s="35">
        <f>'Transaction Assumptions'!C10</f>
        <v/>
      </c>
      <c r="E8" t="inlineStr">
        <is>
          <t>Cash Consideration:</t>
        </is>
      </c>
      <c r="F8" s="36">
        <f>'Transaction Assumptions'!C53</f>
        <v/>
      </c>
    </row>
    <row r="9">
      <c r="B9" t="inlineStr">
        <is>
          <t>Transaction Type:</t>
        </is>
      </c>
      <c r="C9" s="35" t="inlineStr">
        <is>
          <t>Stock &amp; Cash</t>
        </is>
      </c>
      <c r="E9" t="inlineStr">
        <is>
          <t>Stock Consideration:</t>
        </is>
      </c>
      <c r="F9" s="36">
        <f>'Transaction Assumptions'!C54</f>
        <v/>
      </c>
    </row>
    <row r="10">
      <c r="B10" t="inlineStr">
        <is>
          <t>Offer Price per Share:</t>
        </is>
      </c>
      <c r="C10" s="37">
        <f>'Transaction Assumptions'!C42</f>
        <v/>
      </c>
      <c r="E10" t="inlineStr"/>
    </row>
    <row r="11">
      <c r="B11" t="inlineStr">
        <is>
          <t>Premium to Current Price:</t>
        </is>
      </c>
      <c r="C11" s="36">
        <f>'Transaction Assumptions'!C43</f>
        <v/>
      </c>
      <c r="E11" t="inlineStr">
        <is>
          <t>Sources of Funds:</t>
        </is>
      </c>
    </row>
    <row r="12">
      <c r="B12" t="inlineStr">
        <is>
          <t>Equity Purchase Price:</t>
        </is>
      </c>
      <c r="C12" s="38">
        <f>'Transaction Assumptions'!C47</f>
        <v/>
      </c>
      <c r="E12" t="inlineStr">
        <is>
          <t xml:space="preserve">  Cash from Balance Sheet:</t>
        </is>
      </c>
      <c r="F12" s="38">
        <f>'Sources &amp; Uses'!C9</f>
        <v/>
      </c>
    </row>
    <row r="13">
      <c r="B13" t="inlineStr">
        <is>
          <t>Total Enterprise Value:</t>
        </is>
      </c>
      <c r="C13" s="38">
        <f>'Transaction Assumptions'!C49</f>
        <v/>
      </c>
      <c r="E13" t="inlineStr">
        <is>
          <t xml:space="preserve">  New Debt:</t>
        </is>
      </c>
      <c r="F13" s="38">
        <f>'Sources &amp; Uses'!C14</f>
        <v/>
      </c>
    </row>
    <row r="14">
      <c r="B14" t="inlineStr"/>
      <c r="E14" t="inlineStr">
        <is>
          <t xml:space="preserve">  Stock Issued:</t>
        </is>
      </c>
      <c r="F14" s="38">
        <f>'Sources &amp; Uses'!C15</f>
        <v/>
      </c>
    </row>
    <row r="15">
      <c r="B15" s="39" t="inlineStr">
        <is>
          <t>Purchase Price Multiples:</t>
        </is>
      </c>
      <c r="E15" t="inlineStr"/>
    </row>
    <row r="16">
      <c r="B16" s="40" t="inlineStr">
        <is>
          <t xml:space="preserve">  EV / Revenue:</t>
        </is>
      </c>
      <c r="C16" s="41">
        <f>'Transaction Assumptions'!C50</f>
        <v/>
      </c>
      <c r="E16" t="inlineStr">
        <is>
          <t>New Shares Issued:</t>
        </is>
      </c>
      <c r="F16" s="42">
        <f>'Transaction Assumptions'!C53</f>
        <v/>
      </c>
    </row>
    <row r="17">
      <c r="B17" s="40" t="inlineStr">
        <is>
          <t xml:space="preserve">  EV / EBITDA:</t>
        </is>
      </c>
      <c r="C17" s="41">
        <f>'Transaction Assumptions'!C51</f>
        <v/>
      </c>
      <c r="E17" t="inlineStr">
        <is>
          <t>Pro Forma Shares:</t>
        </is>
      </c>
      <c r="F17" s="42">
        <f>'Transaction Assumptions'!C54</f>
        <v/>
      </c>
    </row>
    <row r="18">
      <c r="B18" s="40" t="inlineStr">
        <is>
          <t xml:space="preserve">  P / E:</t>
        </is>
      </c>
      <c r="C18" s="41">
        <f>'Transaction Assumptions'!C52</f>
        <v/>
      </c>
    </row>
    <row r="21">
      <c r="B21" s="34" t="inlineStr">
        <is>
          <t>ACCRETION / DILUTION ANALYSIS</t>
        </is>
      </c>
      <c r="E21" s="34" t="inlineStr">
        <is>
          <t>SYNERGIES SUMMARY</t>
        </is>
      </c>
    </row>
    <row r="22">
      <c r="B22" t="inlineStr">
        <is>
          <t>Acquirer Standalone EPS</t>
        </is>
      </c>
      <c r="C22" s="37">
        <f>'Accretion Dilution'!C5</f>
        <v/>
      </c>
      <c r="E22" t="inlineStr">
        <is>
          <t>Cost Synergies (Steady State)</t>
        </is>
      </c>
      <c r="F22" s="38">
        <f>Synergies!F12</f>
        <v/>
      </c>
    </row>
    <row r="23">
      <c r="B23" t="inlineStr">
        <is>
          <t>Pro Forma EPS (with synergies)</t>
        </is>
      </c>
      <c r="C23" s="37">
        <f>'Accretion Dilution'!C9</f>
        <v/>
      </c>
      <c r="E23" t="inlineStr">
        <is>
          <t>Revenue Synergies (Steady State)</t>
        </is>
      </c>
      <c r="F23" s="38">
        <f>Synergies!F19</f>
        <v/>
      </c>
    </row>
    <row r="24">
      <c r="B24" t="inlineStr">
        <is>
          <t>EPS Accretion/(Dilution)</t>
        </is>
      </c>
      <c r="C24" s="43">
        <f>'Accretion Dilution'!C15</f>
        <v/>
      </c>
      <c r="E24" t="inlineStr">
        <is>
          <t>Total Synergies</t>
        </is>
      </c>
      <c r="F24" s="44">
        <f>F22+F23</f>
        <v/>
      </c>
    </row>
    <row r="26">
      <c r="B26" t="inlineStr">
        <is>
          <t>Transaction is:</t>
        </is>
      </c>
      <c r="C26" s="45">
        <f>'Accretion Dilution'!C16</f>
        <v/>
      </c>
      <c r="E26" t="inlineStr">
        <is>
          <t>Integration Costs (Cumulative)</t>
        </is>
      </c>
      <c r="F26" s="46">
        <f>SUM(Synergies!C27:E27)</f>
        <v/>
      </c>
    </row>
    <row r="29">
      <c r="B29" s="34" t="inlineStr">
        <is>
          <t>PURCHASE PRICE ALLOCATION</t>
        </is>
      </c>
      <c r="E29" s="34" t="inlineStr">
        <is>
          <t>KEY METRICS</t>
        </is>
      </c>
    </row>
    <row r="30">
      <c r="B30" t="inlineStr">
        <is>
          <t>Adjusted Purchase Price</t>
        </is>
      </c>
      <c r="C30" s="38">
        <f>'Purchase Price Allocation'!C8</f>
        <v/>
      </c>
      <c r="E30" t="inlineStr">
        <is>
          <t>Pro Forma Revenue</t>
        </is>
      </c>
      <c r="F30" s="38">
        <f>'Pro Forma Income Statement'!G6</f>
        <v/>
      </c>
    </row>
    <row r="31">
      <c r="B31" t="inlineStr">
        <is>
          <t>Fair Value of Net Assets</t>
        </is>
      </c>
      <c r="C31" s="38">
        <f>'Purchase Price Allocation'!C36</f>
        <v/>
      </c>
      <c r="E31" t="inlineStr">
        <is>
          <t>Pro Forma EBITDA</t>
        </is>
      </c>
      <c r="F31" s="46">
        <f>'Pro Forma Income Statement'!G17+'Pro Forma Income Statement'!G13</f>
        <v/>
      </c>
    </row>
    <row r="32">
      <c r="B32" t="inlineStr">
        <is>
          <t>Goodwill Created</t>
        </is>
      </c>
      <c r="C32" s="44">
        <f>'Purchase Price Allocation'!C37</f>
        <v/>
      </c>
      <c r="E32" t="inlineStr">
        <is>
          <t>Pro Forma Net Income</t>
        </is>
      </c>
      <c r="F32" s="38">
        <f>'Pro Forma Income Statement'!G23</f>
        <v/>
      </c>
    </row>
    <row r="33">
      <c r="B33" t="inlineStr">
        <is>
          <t>Additional Annual D&amp;A</t>
        </is>
      </c>
      <c r="C33" s="38">
        <f>'Purchase Price Allocation'!C44</f>
        <v/>
      </c>
      <c r="E33" t="inlineStr">
        <is>
          <t>Pro Forma EPS</t>
        </is>
      </c>
      <c r="F33" s="47">
        <f>'Pro Forma Income Statement'!G26</f>
        <v/>
      </c>
    </row>
    <row r="36">
      <c r="B36" t="inlineStr">
        <is>
          <t>Notes:</t>
        </is>
      </c>
    </row>
    <row r="37">
      <c r="B37" s="48" t="inlineStr">
        <is>
          <t>â€¢ All figures in millions except per share data and percentages</t>
        </is>
      </c>
    </row>
    <row r="38">
      <c r="B38" s="48" t="inlineStr">
        <is>
          <t>â€¢ Pro forma results include full run-rate synergies</t>
        </is>
      </c>
    </row>
    <row r="39">
      <c r="B39" s="48" t="inlineStr">
        <is>
          <t>â€¢ See Sensitivity Analysis sheet for alternate scenarios</t>
        </is>
      </c>
    </row>
  </sheetData>
  <mergeCells count="7">
    <mergeCell ref="B2:G2"/>
    <mergeCell ref="B21:D21"/>
    <mergeCell ref="E21:G21"/>
    <mergeCell ref="B29:D29"/>
    <mergeCell ref="E29:G29"/>
    <mergeCell ref="E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D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9" min="1" max="1"/>
    <col width="35" customWidth="1" style="49" min="2" max="2"/>
    <col width="20" customWidth="1" style="49" min="3" max="4"/>
  </cols>
  <sheetData>
    <row r="2" ht="17.25" customHeight="1" s="31">
      <c r="B2" s="50" t="inlineStr">
        <is>
          <t>MERGER MODEL - TRANSACTION ASSUMPTIONS</t>
        </is>
      </c>
    </row>
    <row r="5" ht="15" customHeight="1" s="31">
      <c r="B5" s="51" t="inlineStr">
        <is>
          <t>COMPANY INFORMATION</t>
        </is>
      </c>
    </row>
    <row r="7" ht="15" customHeight="1" s="31">
      <c r="B7" s="49" t="inlineStr">
        <is>
          <t>Acquirer Company Name</t>
        </is>
      </c>
      <c r="C7" s="52" t="inlineStr">
        <is>
          <t>Acquirer Corp</t>
        </is>
      </c>
    </row>
    <row r="8" ht="15" customHeight="1" s="31">
      <c r="B8" s="49" t="inlineStr">
        <is>
          <t>Acquirer Ticker</t>
        </is>
      </c>
      <c r="C8" s="52" t="inlineStr">
        <is>
          <t>ACQ</t>
        </is>
      </c>
    </row>
    <row r="10" ht="15" customHeight="1" s="31">
      <c r="B10" s="49" t="inlineStr">
        <is>
          <t>Target Company Name</t>
        </is>
      </c>
      <c r="C10" s="52" t="inlineStr">
        <is>
          <t>Target Inc</t>
        </is>
      </c>
    </row>
    <row r="11" ht="15" customHeight="1" s="31">
      <c r="B11" s="49" t="inlineStr">
        <is>
          <t>Target Ticker</t>
        </is>
      </c>
      <c r="C11" s="52" t="inlineStr">
        <is>
          <t>TGT</t>
        </is>
      </c>
    </row>
    <row r="13" ht="15" customHeight="1" s="31">
      <c r="B13" s="49" t="inlineStr">
        <is>
          <t>Transaction Announcement Date</t>
        </is>
      </c>
      <c r="C13" s="53" t="inlineStr">
        <is>
          <t>1/1/2025</t>
        </is>
      </c>
    </row>
    <row r="14" ht="15" customHeight="1" s="31">
      <c r="B14" s="49" t="inlineStr">
        <is>
          <t>Expected Close Date</t>
        </is>
      </c>
      <c r="C14" s="53" t="inlineStr">
        <is>
          <t>6/30/2025</t>
        </is>
      </c>
    </row>
    <row r="17" ht="15" customHeight="1" s="31">
      <c r="B17" s="51" t="inlineStr">
        <is>
          <t>ACQUIRER INFORMATION</t>
        </is>
      </c>
    </row>
    <row r="19" ht="15" customHeight="1" s="31">
      <c r="B19" s="49" t="inlineStr">
        <is>
          <t>Current Stock Price</t>
        </is>
      </c>
      <c r="C19" s="54" t="n">
        <v>50</v>
      </c>
    </row>
    <row r="20" ht="15" customHeight="1" s="31">
      <c r="B20" s="49" t="inlineStr">
        <is>
          <t>Shares Outstanding (M)</t>
        </is>
      </c>
      <c r="C20" s="55" t="n">
        <v>100</v>
      </c>
    </row>
    <row r="21" ht="15" customHeight="1" s="31">
      <c r="B21" s="49" t="inlineStr">
        <is>
          <t>Market Capitalization ($M)</t>
        </is>
      </c>
      <c r="C21" s="56" t="n">
        <v>100</v>
      </c>
    </row>
    <row r="23" ht="15" customHeight="1" s="31">
      <c r="B23" s="49" t="inlineStr">
        <is>
          <t>Net Debt ($M)</t>
        </is>
      </c>
      <c r="C23" s="54" t="n">
        <v>500</v>
      </c>
    </row>
    <row r="24" ht="15" customHeight="1" s="31">
      <c r="B24" s="49" t="inlineStr">
        <is>
          <t>Enterprise Value ($M)</t>
        </is>
      </c>
      <c r="C24" s="56" t="n">
        <v>500</v>
      </c>
    </row>
    <row r="26" ht="15" customHeight="1" s="31">
      <c r="B26" s="49" t="inlineStr">
        <is>
          <t>LTM Revenue ($M)</t>
        </is>
      </c>
      <c r="C26" s="54" t="n">
        <v>2000</v>
      </c>
    </row>
    <row r="27" ht="15" customHeight="1" s="31">
      <c r="B27" s="49" t="inlineStr">
        <is>
          <t>LTM EBITDA ($M)</t>
        </is>
      </c>
      <c r="C27" s="54" t="n">
        <v>400</v>
      </c>
    </row>
    <row r="28" ht="15" customHeight="1" s="31">
      <c r="B28" s="49" t="inlineStr">
        <is>
          <t>LTM Net Income ($M)</t>
        </is>
      </c>
      <c r="C28" s="54" t="n">
        <v>250</v>
      </c>
    </row>
    <row r="29" ht="15" customHeight="1" s="31">
      <c r="B29" s="49" t="inlineStr">
        <is>
          <t>LTM Earnings Per Share</t>
        </is>
      </c>
      <c r="C29" s="57" t="n">
        <v>250</v>
      </c>
    </row>
    <row r="32" ht="15" customHeight="1" s="31">
      <c r="B32" s="51" t="inlineStr">
        <is>
          <t>TARGET INFORMATION</t>
        </is>
      </c>
    </row>
    <row r="34" ht="15" customHeight="1" s="31">
      <c r="B34" s="49" t="inlineStr">
        <is>
          <t>Current Stock Price</t>
        </is>
      </c>
      <c r="C34" s="54" t="n">
        <v>25</v>
      </c>
    </row>
    <row r="35" ht="15" customHeight="1" s="31">
      <c r="B35" s="49" t="inlineStr">
        <is>
          <t>Shares Outstanding (M)</t>
        </is>
      </c>
      <c r="C35" s="55" t="n">
        <v>50</v>
      </c>
    </row>
    <row r="36" ht="15" customHeight="1" s="31">
      <c r="B36" s="49" t="inlineStr">
        <is>
          <t>Market Capitalization ($M)</t>
        </is>
      </c>
      <c r="C36" s="56" t="n">
        <v>50</v>
      </c>
    </row>
    <row r="38" ht="15" customHeight="1" s="31">
      <c r="B38" s="49" t="inlineStr">
        <is>
          <t>Net Debt ($M)</t>
        </is>
      </c>
      <c r="C38" s="54" t="n">
        <v>250</v>
      </c>
    </row>
    <row r="39" ht="15" customHeight="1" s="31">
      <c r="B39" s="49" t="inlineStr">
        <is>
          <t>Enterprise Value ($M)</t>
        </is>
      </c>
      <c r="C39" s="56" t="n">
        <v>250</v>
      </c>
    </row>
    <row r="41" ht="15" customHeight="1" s="31">
      <c r="B41" s="49" t="inlineStr">
        <is>
          <t>LTM Revenue ($M)</t>
        </is>
      </c>
      <c r="C41" s="54" t="n">
        <v>500</v>
      </c>
    </row>
    <row r="42" ht="15" customHeight="1" s="31">
      <c r="B42" s="49" t="inlineStr">
        <is>
          <t>LTM EBITDA ($M)</t>
        </is>
      </c>
      <c r="C42" s="54" t="n">
        <v>100</v>
      </c>
    </row>
    <row r="43" ht="15" customHeight="1" s="31">
      <c r="B43" s="49" t="inlineStr">
        <is>
          <t>LTM Net Income ($M)</t>
        </is>
      </c>
      <c r="C43" s="54" t="n">
        <v>60</v>
      </c>
    </row>
    <row r="44" ht="15" customHeight="1" s="31">
      <c r="B44" s="49" t="inlineStr">
        <is>
          <t>LTM Earnings Per Share</t>
        </is>
      </c>
      <c r="C44" s="57" t="n">
        <v>60</v>
      </c>
    </row>
    <row r="45" ht="15" customHeight="1" s="31">
      <c r="C45" s="49">
        <f>C44/C36</f>
        <v/>
      </c>
    </row>
    <row r="47" ht="15" customHeight="1" s="31">
      <c r="B47" s="51" t="inlineStr">
        <is>
          <t>TRANSACTION TERMS</t>
        </is>
      </c>
    </row>
    <row r="49" ht="15" customHeight="1" s="31">
      <c r="B49" s="49" t="inlineStr">
        <is>
          <t>Offer Price Per Share</t>
        </is>
      </c>
      <c r="C49" s="54" t="n">
        <v>30</v>
      </c>
    </row>
    <row r="50" ht="15" customHeight="1" s="31">
      <c r="B50" s="49" t="inlineStr">
        <is>
          <t>Premium to Current Price</t>
        </is>
      </c>
      <c r="C50" s="58" t="n">
        <v>30</v>
      </c>
    </row>
    <row r="52" ht="15" customHeight="1" s="31">
      <c r="B52" s="49" t="inlineStr">
        <is>
          <t>Equity Purchase Price ($M)</t>
        </is>
      </c>
      <c r="C52" s="56">
        <f>C50*C36</f>
        <v/>
      </c>
    </row>
    <row r="53" ht="15" customHeight="1" s="31">
      <c r="B53" s="49" t="inlineStr">
        <is>
          <t>Plus: Target Net Debt ($M)</t>
        </is>
      </c>
      <c r="C53" s="59">
        <f>C39</f>
        <v/>
      </c>
    </row>
    <row r="54" ht="15" customHeight="1" s="31">
      <c r="B54" s="49" t="inlineStr">
        <is>
          <t>Enterprise Value ($M)</t>
        </is>
      </c>
      <c r="C54" s="60">
        <f>C53+C39</f>
        <v/>
      </c>
    </row>
    <row r="56" ht="15" customHeight="1" s="31">
      <c r="B56" s="61" t="inlineStr">
        <is>
          <t>Purchase Price Multiples:</t>
        </is>
      </c>
    </row>
    <row r="57" ht="15" customHeight="1" s="31">
      <c r="B57" s="49" t="inlineStr">
        <is>
          <t xml:space="preserve">  EV / LTM Revenue</t>
        </is>
      </c>
      <c r="C57" s="62">
        <f>C55/C42</f>
        <v/>
      </c>
    </row>
    <row r="58" ht="15" customHeight="1" s="31">
      <c r="B58" s="49" t="inlineStr">
        <is>
          <t xml:space="preserve">  EV / LTM EBITDA</t>
        </is>
      </c>
      <c r="C58" s="62">
        <f>C55/C43</f>
        <v/>
      </c>
    </row>
    <row r="59" ht="15" customHeight="1" s="31">
      <c r="B59" s="49" t="inlineStr">
        <is>
          <t xml:space="preserve">  P / E (Price / Earnings)</t>
        </is>
      </c>
      <c r="C59" s="62">
        <f>C50/C45</f>
        <v/>
      </c>
    </row>
    <row r="62" ht="15" customHeight="1" s="31">
      <c r="B62" s="51" t="inlineStr">
        <is>
          <t>FINANCING STRUCTURE</t>
        </is>
      </c>
    </row>
    <row r="64" ht="15" customHeight="1" s="31">
      <c r="B64" s="49" t="inlineStr">
        <is>
          <t>Cash Consideration (%)</t>
        </is>
      </c>
      <c r="C64" s="63" t="n">
        <v>0.6</v>
      </c>
    </row>
    <row r="65" ht="15" customHeight="1" s="31">
      <c r="B65" s="49" t="inlineStr">
        <is>
          <t>Stock Consideration (%)</t>
        </is>
      </c>
      <c r="C65" s="58" t="n">
        <v>0.6</v>
      </c>
    </row>
    <row r="67" ht="15" customHeight="1" s="31">
      <c r="B67" s="49" t="inlineStr">
        <is>
          <t>Cash Payment ($M)</t>
        </is>
      </c>
      <c r="C67" s="56">
        <f>C53*C65</f>
        <v/>
      </c>
    </row>
    <row r="68" ht="15" customHeight="1" s="31">
      <c r="B68" s="49" t="inlineStr">
        <is>
          <t>Stock Payment ($M)</t>
        </is>
      </c>
      <c r="C68" s="56">
        <f>C53*C66</f>
        <v/>
      </c>
    </row>
    <row r="70" ht="15" customHeight="1" s="31">
      <c r="B70" s="49" t="inlineStr">
        <is>
          <t>Exchange Ratio (Target shares per Acquirer share)</t>
        </is>
      </c>
      <c r="C70" s="64">
        <f>C50/C20</f>
        <v/>
      </c>
    </row>
    <row r="71" ht="15" customHeight="1" s="31">
      <c r="B71" s="49" t="inlineStr">
        <is>
          <t>New Shares Issued (M)</t>
        </is>
      </c>
      <c r="C71" s="65">
        <f>(C69/C20)</f>
        <v/>
      </c>
    </row>
    <row r="72" ht="15" customHeight="1" s="31">
      <c r="B72" s="49" t="inlineStr">
        <is>
          <t>Pro Forma Shares Outstanding (M)</t>
        </is>
      </c>
      <c r="C72" s="65">
        <f>C21+C71</f>
        <v/>
      </c>
    </row>
    <row r="75" ht="15" customHeight="1" s="31">
      <c r="B75" s="51" t="inlineStr">
        <is>
          <t>TRANSACTION COSTS &amp; ASSUMPTIONS</t>
        </is>
      </c>
    </row>
    <row r="77" ht="15" customHeight="1" s="31">
      <c r="B77" s="49" t="inlineStr">
        <is>
          <t>Advisory &amp; Legal Fees (% of Transaction Value)</t>
        </is>
      </c>
      <c r="C77" s="63" t="n">
        <v>0.02</v>
      </c>
    </row>
    <row r="78" ht="15" customHeight="1" s="31">
      <c r="B78" s="49" t="inlineStr">
        <is>
          <t>Financing Fees (% of New Debt)</t>
        </is>
      </c>
      <c r="C78" s="63" t="n">
        <v>0.03</v>
      </c>
    </row>
    <row r="80" ht="15" customHeight="1" s="31">
      <c r="B80" s="49" t="inlineStr">
        <is>
          <t>Combined Tax Rate</t>
        </is>
      </c>
      <c r="C80" s="63" t="n">
        <v>0.25</v>
      </c>
    </row>
    <row r="81" ht="15" customHeight="1" s="31">
      <c r="B81" s="49" t="inlineStr">
        <is>
          <t>Cost of Debt (New Borrowings)</t>
        </is>
      </c>
      <c r="C81" s="63" t="n">
        <v>0.05</v>
      </c>
    </row>
    <row r="82" ht="15" customHeight="1" s="31">
      <c r="B82" s="49" t="inlineStr">
        <is>
          <t>Depreciation Period for PP&amp;E Write-up (Years)</t>
        </is>
      </c>
      <c r="C82" s="66" t="n">
        <v>10</v>
      </c>
    </row>
    <row r="83" ht="15" customHeight="1" s="31">
      <c r="B83" s="49" t="inlineStr">
        <is>
          <t>Amortization Period for Intangibles (Years)</t>
        </is>
      </c>
      <c r="C83" s="66" t="n">
        <v>15</v>
      </c>
    </row>
  </sheetData>
  <mergeCells count="7">
    <mergeCell ref="B5:D5"/>
    <mergeCell ref="B32:D32"/>
    <mergeCell ref="B17:D17"/>
    <mergeCell ref="B62:D62"/>
    <mergeCell ref="B75:D75"/>
    <mergeCell ref="B47:D47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H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9" min="1" max="1"/>
    <col width="35" customWidth="1" style="49" min="2" max="2"/>
    <col width="18" customWidth="1" style="49" min="3" max="3"/>
    <col width="12" customWidth="1" style="49" min="4" max="4"/>
    <col width="5" customWidth="1" style="49" min="5" max="5"/>
    <col width="35" customWidth="1" style="49" min="6" max="6"/>
    <col width="18" customWidth="1" style="49" min="7" max="7"/>
    <col width="12" customWidth="1" style="49" min="8" max="8"/>
  </cols>
  <sheetData>
    <row r="2" ht="17.25" customHeight="1" s="31">
      <c r="B2" s="50" t="inlineStr">
        <is>
          <t>SOURCES &amp; USES OF FUNDS</t>
        </is>
      </c>
    </row>
    <row r="5" ht="15" customHeight="1" s="31">
      <c r="B5" s="67" t="inlineStr">
        <is>
          <t>SOURCES OF FUNDS</t>
        </is>
      </c>
      <c r="F5" s="68" t="inlineStr">
        <is>
          <t>USES OF FUNDS</t>
        </is>
      </c>
    </row>
    <row r="6" ht="15" customHeight="1" s="31">
      <c r="C6" s="69" t="inlineStr">
        <is>
          <t>$M</t>
        </is>
      </c>
      <c r="D6" s="69" t="inlineStr">
        <is>
          <t>% of Total</t>
        </is>
      </c>
      <c r="G6" s="69" t="inlineStr">
        <is>
          <t>$M</t>
        </is>
      </c>
      <c r="H6" s="69" t="inlineStr">
        <is>
          <t>% of Total</t>
        </is>
      </c>
    </row>
    <row r="8" ht="15" customHeight="1" s="31">
      <c r="B8" s="49" t="inlineStr">
        <is>
          <t>Cash from Balance Sheet</t>
        </is>
      </c>
      <c r="C8" s="54" t="n">
        <v>200</v>
      </c>
      <c r="D8" s="58">
        <f>IFERROR(C9/$C$19,0)</f>
        <v/>
      </c>
      <c r="F8" s="49" t="inlineStr">
        <is>
          <t>Equity Purchase Price</t>
        </is>
      </c>
      <c r="G8" s="59">
        <f>'Transaction Assumptions'!C53</f>
        <v/>
      </c>
      <c r="H8" s="58">
        <f>IFERROR(G8/$G$22,0)</f>
        <v/>
      </c>
    </row>
    <row r="9" ht="15" customHeight="1" s="31">
      <c r="F9" s="49" t="inlineStr">
        <is>
          <t>Refinance Target Net Debt</t>
        </is>
      </c>
      <c r="G9" s="59">
        <f>'Transaction Assumptions'!C39</f>
        <v/>
      </c>
      <c r="H9" s="58">
        <f>IFERROR(G9/$G$22,0)</f>
        <v/>
      </c>
    </row>
    <row r="10" ht="15" customHeight="1" s="31">
      <c r="B10" s="61" t="inlineStr">
        <is>
          <t>New Debt Issuance:</t>
        </is>
      </c>
    </row>
    <row r="11" ht="15" customHeight="1" s="31">
      <c r="B11" s="49" t="inlineStr">
        <is>
          <t xml:space="preserve">  Revolving Credit Facility</t>
        </is>
      </c>
      <c r="C11" s="54" t="n">
        <v>0</v>
      </c>
      <c r="D11" s="58">
        <f>IFERROR(C12/$C$19,0)</f>
        <v/>
      </c>
      <c r="F11" s="61" t="inlineStr">
        <is>
          <t>Transaction Costs:</t>
        </is>
      </c>
    </row>
    <row r="12" ht="15" customHeight="1" s="31">
      <c r="B12" s="49" t="inlineStr">
        <is>
          <t xml:space="preserve">  Term Loan</t>
        </is>
      </c>
      <c r="C12" s="54" t="n">
        <v>500</v>
      </c>
      <c r="D12" s="58">
        <f>IFERROR(C13/$C$19,0)</f>
        <v/>
      </c>
      <c r="F12" s="49" t="inlineStr">
        <is>
          <t xml:space="preserve">  Advisory &amp; Legal Fees</t>
        </is>
      </c>
      <c r="G12" s="56">
        <f>'Transaction Assumptions'!C53*'Transaction Assumptions'!C78</f>
        <v/>
      </c>
      <c r="H12" s="58">
        <f>IFERROR(G12/$G$22,0)</f>
        <v/>
      </c>
    </row>
    <row r="13" ht="15" customHeight="1" s="31">
      <c r="B13" s="49" t="inlineStr">
        <is>
          <t xml:space="preserve">  Senior Notes</t>
        </is>
      </c>
      <c r="C13" s="54" t="n">
        <v>400</v>
      </c>
      <c r="D13" s="58">
        <f>IFERROR(C14/$C$19,0)</f>
        <v/>
      </c>
      <c r="F13" s="49" t="inlineStr">
        <is>
          <t xml:space="preserve">  Financing Fees</t>
        </is>
      </c>
      <c r="G13" s="56">
        <f>C15*'Transaction Assumptions'!C79</f>
        <v/>
      </c>
      <c r="H13" s="58">
        <f>IFERROR(G13/$G$22,0)</f>
        <v/>
      </c>
    </row>
    <row r="14" ht="15" customHeight="1" s="31">
      <c r="B14" s="49" t="inlineStr">
        <is>
          <t>Total New Debt</t>
        </is>
      </c>
      <c r="C14" s="70" t="n">
        <v>400</v>
      </c>
      <c r="D14" s="58">
        <f>IFERROR(C15/$C$19,0)</f>
        <v/>
      </c>
      <c r="F14" s="49" t="inlineStr">
        <is>
          <t xml:space="preserve">  Other Transaction Costs</t>
        </is>
      </c>
      <c r="G14" s="54" t="n">
        <v>10</v>
      </c>
      <c r="H14" s="58">
        <f>IFERROR(G14/$G$22,0)</f>
        <v/>
      </c>
    </row>
    <row r="15" ht="15" customHeight="1" s="31">
      <c r="C15" s="49">
        <f>SUM(C12:C14)</f>
        <v/>
      </c>
      <c r="F15" s="49" t="inlineStr">
        <is>
          <t>Total Transaction Costs</t>
        </is>
      </c>
      <c r="G15" s="71">
        <f>SUM(G12:G14)</f>
        <v/>
      </c>
      <c r="H15" s="58">
        <f>IFERROR(G15/$G$22,0)</f>
        <v/>
      </c>
    </row>
    <row r="16" ht="15" customHeight="1" s="31">
      <c r="B16" s="49" t="inlineStr">
        <is>
          <t>Common Stock Issued to Target Shareholders</t>
        </is>
      </c>
      <c r="C16" s="59">
        <f>'Transaction Assumptions'!C69</f>
        <v/>
      </c>
      <c r="D16" s="58">
        <f>IFERROR(C17/$C$19,0)</f>
        <v/>
      </c>
    </row>
    <row r="17" ht="15" customHeight="1" s="31">
      <c r="F17" s="49" t="inlineStr">
        <is>
          <t>Cash to Pro Forma Balance Sheet</t>
        </is>
      </c>
      <c r="G17" s="56">
        <f>C19-G8-G9-G15</f>
        <v/>
      </c>
      <c r="H17" s="58">
        <f>IFERROR(G17/$G$22,0)</f>
        <v/>
      </c>
    </row>
    <row r="18" ht="15" customHeight="1" s="31">
      <c r="B18" s="49" t="inlineStr">
        <is>
          <t>TOTAL SOURCES</t>
        </is>
      </c>
      <c r="C18" s="72">
        <f>C9+C15+C17</f>
        <v/>
      </c>
      <c r="D18" s="73">
        <f>IFERROR(C19/C19,0)</f>
        <v/>
      </c>
    </row>
    <row r="19" ht="15" customHeight="1" s="31">
      <c r="F19" s="49" t="inlineStr">
        <is>
          <t>TOTAL USES</t>
        </is>
      </c>
      <c r="G19" s="74">
        <f>G8+G9+G15+G17</f>
        <v/>
      </c>
      <c r="H19" s="73">
        <f>IFERROR(G22/G22,0)</f>
        <v/>
      </c>
    </row>
    <row r="22" ht="15" customHeight="1" s="31">
      <c r="B22" s="75" t="inlineStr">
        <is>
          <t>BALANCE CHECK:</t>
        </is>
      </c>
      <c r="C22" s="76">
        <f>C19-G22</f>
        <v/>
      </c>
      <c r="D22" s="77" t="inlineStr">
        <is>
          <t>(Should be $0)</t>
        </is>
      </c>
    </row>
    <row r="25" ht="15" customHeight="1" s="31">
      <c r="B25" s="51" t="inlineStr">
        <is>
          <t>FINANCING SUMMARY</t>
        </is>
      </c>
    </row>
    <row r="27" ht="15" customHeight="1" s="31">
      <c r="B27" s="49" t="inlineStr">
        <is>
          <t>Total Transaction Value ($M)</t>
        </is>
      </c>
      <c r="C27" s="56">
        <f>G8+G9</f>
        <v/>
      </c>
    </row>
    <row r="28" ht="15" customHeight="1" s="31">
      <c r="B28" s="49" t="inlineStr">
        <is>
          <t>Total Debt Financing ($M)</t>
        </is>
      </c>
      <c r="C28" s="56">
        <f>C15</f>
        <v/>
      </c>
    </row>
    <row r="29" ht="15" customHeight="1" s="31">
      <c r="B29" s="49" t="inlineStr">
        <is>
          <t>Total Equity Financing ($M)</t>
        </is>
      </c>
      <c r="C29" s="56">
        <f>C9+C17</f>
        <v/>
      </c>
    </row>
    <row r="31" ht="15" customHeight="1" s="31">
      <c r="B31" s="49" t="inlineStr">
        <is>
          <t>Debt as % of Purchase Price</t>
        </is>
      </c>
      <c r="C31" s="58">
        <f>C15</f>
        <v/>
      </c>
    </row>
    <row r="32" ht="15" customHeight="1" s="31">
      <c r="B32" s="49" t="inlineStr">
        <is>
          <t>Equity as % of Purchase Price</t>
        </is>
      </c>
      <c r="C32" s="58">
        <f>C9+C17</f>
        <v/>
      </c>
    </row>
    <row r="34" ht="15" customHeight="1" s="31">
      <c r="B34" s="49" t="inlineStr">
        <is>
          <t>Cash as % of Equity Consideration</t>
        </is>
      </c>
      <c r="C34" s="78">
        <f>'Transaction Assumptions'!C65</f>
        <v/>
      </c>
    </row>
    <row r="35" ht="15" customHeight="1" s="31">
      <c r="B35" s="49" t="inlineStr">
        <is>
          <t>Stock as % of Equity Consideration</t>
        </is>
      </c>
      <c r="C35" s="78">
        <f>'Transaction Assumptions'!C66</f>
        <v/>
      </c>
    </row>
  </sheetData>
  <mergeCells count="4">
    <mergeCell ref="B25:D25"/>
    <mergeCell ref="B2:H2"/>
    <mergeCell ref="B5:D5"/>
    <mergeCell ref="F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4"/>
  <sheetViews>
    <sheetView workbookViewId="0">
      <selection activeCell="A1" sqref="A1"/>
    </sheetView>
  </sheetViews>
  <sheetFormatPr baseColWidth="8" defaultRowHeight="15"/>
  <cols>
    <col width="2" customWidth="1" style="31" min="1" max="1"/>
    <col width="35" customWidth="1" style="31" min="2" max="2"/>
    <col width="20" customWidth="1" style="31" min="3" max="3"/>
    <col width="20" customWidth="1" style="31" min="4" max="4"/>
    <col width="20" customWidth="1" style="31" min="5" max="5"/>
  </cols>
  <sheetData>
    <row r="2">
      <c r="B2" s="32" t="inlineStr">
        <is>
          <t>PURCHASE PRICE ALLOCATION (PPA)</t>
        </is>
      </c>
    </row>
    <row r="4">
      <c r="B4" s="34" t="inlineStr">
        <is>
          <t>Transaction Value</t>
        </is>
      </c>
    </row>
    <row r="5">
      <c r="B5" t="inlineStr">
        <is>
          <t>Equity Purchase Price</t>
        </is>
      </c>
      <c r="C5" s="38">
        <f>'Transaction Assumptions'!C47</f>
        <v/>
      </c>
    </row>
    <row r="6">
      <c r="B6" t="inlineStr">
        <is>
          <t>Less: Target Cash &amp; Equivalents</t>
        </is>
      </c>
      <c r="C6" s="79" t="n">
        <v>0</v>
      </c>
    </row>
    <row r="7">
      <c r="B7" t="inlineStr">
        <is>
          <t>Plus: Target Debt (refinanced)</t>
        </is>
      </c>
      <c r="C7" s="38">
        <f>'Transaction Assumptions'!C31</f>
        <v/>
      </c>
    </row>
    <row r="8">
      <c r="B8" t="inlineStr">
        <is>
          <t>Adjusted Purchase Price</t>
        </is>
      </c>
      <c r="C8" s="44">
        <f>C5-C6+C7</f>
        <v/>
      </c>
    </row>
    <row r="10">
      <c r="B10" s="34" t="inlineStr">
        <is>
          <t>Target Company - Book Values</t>
        </is>
      </c>
    </row>
    <row r="11">
      <c r="B11" t="inlineStr">
        <is>
          <t>Current Assets</t>
        </is>
      </c>
      <c r="C11" s="79" t="n">
        <v>300000</v>
      </c>
    </row>
    <row r="12">
      <c r="B12" t="inlineStr">
        <is>
          <t>PP&amp;E, net</t>
        </is>
      </c>
      <c r="C12" s="79" t="n">
        <v>150000</v>
      </c>
    </row>
    <row r="13">
      <c r="B13" t="inlineStr">
        <is>
          <t>Intangible Assets</t>
        </is>
      </c>
      <c r="C13" s="79" t="n">
        <v>50000</v>
      </c>
    </row>
    <row r="14">
      <c r="B14" t="inlineStr">
        <is>
          <t>Goodwill</t>
        </is>
      </c>
      <c r="C14" s="79" t="n">
        <v>0</v>
      </c>
    </row>
    <row r="15">
      <c r="B15" t="inlineStr">
        <is>
          <t>Other Assets</t>
        </is>
      </c>
      <c r="C15" s="79" t="n">
        <v>25000</v>
      </c>
    </row>
    <row r="16">
      <c r="B16" t="inlineStr">
        <is>
          <t>Total Assets</t>
        </is>
      </c>
      <c r="C16" s="44">
        <f>SUM(C11:C15)</f>
        <v/>
      </c>
    </row>
    <row r="18">
      <c r="B18" t="inlineStr">
        <is>
          <t>Current Liabilities</t>
        </is>
      </c>
      <c r="C18" s="79" t="n">
        <v>100000</v>
      </c>
    </row>
    <row r="19">
      <c r="B19" t="inlineStr">
        <is>
          <t>Long-Term Debt</t>
        </is>
      </c>
      <c r="C19" s="79" t="n">
        <v>250000</v>
      </c>
    </row>
    <row r="20">
      <c r="B20" t="inlineStr">
        <is>
          <t>Other Liabilities</t>
        </is>
      </c>
      <c r="C20" s="79" t="n">
        <v>50000</v>
      </c>
    </row>
    <row r="21">
      <c r="B21" t="inlineStr">
        <is>
          <t>Total Liabilities</t>
        </is>
      </c>
      <c r="C21" s="44">
        <f>SUM(C18:C20)</f>
        <v/>
      </c>
    </row>
    <row r="22">
      <c r="B22" t="inlineStr">
        <is>
          <t>Book Value of Equity</t>
        </is>
      </c>
      <c r="C22" s="44">
        <f>C16-C21</f>
        <v/>
      </c>
    </row>
    <row r="24">
      <c r="B24" s="34" t="inlineStr">
        <is>
          <t>Fair Value Adjustments</t>
        </is>
      </c>
    </row>
    <row r="25">
      <c r="B25" s="80" t="inlineStr">
        <is>
          <t>Asset/Liability</t>
        </is>
      </c>
      <c r="C25" s="80" t="inlineStr">
        <is>
          <t>Book Value</t>
        </is>
      </c>
      <c r="D25" s="80" t="inlineStr">
        <is>
          <t>FV Adjustment</t>
        </is>
      </c>
      <c r="E25" s="80" t="inlineStr">
        <is>
          <t>Fair Value</t>
        </is>
      </c>
    </row>
    <row r="26">
      <c r="B26" t="inlineStr">
        <is>
          <t>PP&amp;E (write-up)</t>
        </is>
      </c>
      <c r="C26" s="81">
        <f>C12</f>
        <v/>
      </c>
      <c r="D26" s="82" t="n">
        <v>50000</v>
      </c>
      <c r="E26" s="83">
        <f>C26+D26</f>
        <v/>
      </c>
    </row>
    <row r="27">
      <c r="B27" t="inlineStr">
        <is>
          <t>Inventory (step-up)</t>
        </is>
      </c>
      <c r="C27" s="81">
        <f>C11</f>
        <v/>
      </c>
      <c r="D27" s="82" t="n">
        <v>10000</v>
      </c>
      <c r="E27" s="83">
        <f>C27+D27</f>
        <v/>
      </c>
    </row>
    <row r="28">
      <c r="B28" t="inlineStr">
        <is>
          <t>Customer Relationships</t>
        </is>
      </c>
      <c r="C28" s="84" t="n">
        <v>0</v>
      </c>
      <c r="D28" s="82" t="n">
        <v>100000</v>
      </c>
      <c r="E28" s="83">
        <f>C28+D28</f>
        <v/>
      </c>
    </row>
    <row r="29">
      <c r="B29" t="inlineStr">
        <is>
          <t>Technology/IP</t>
        </is>
      </c>
      <c r="C29" s="84" t="n">
        <v>0</v>
      </c>
      <c r="D29" s="82" t="n">
        <v>75000</v>
      </c>
      <c r="E29" s="83">
        <f>C29+D29</f>
        <v/>
      </c>
    </row>
    <row r="30">
      <c r="B30" t="inlineStr">
        <is>
          <t>Trade Names</t>
        </is>
      </c>
      <c r="C30" s="84" t="n">
        <v>0</v>
      </c>
      <c r="D30" s="82" t="n">
        <v>25000</v>
      </c>
      <c r="E30" s="83">
        <f>C30+D30</f>
        <v/>
      </c>
    </row>
    <row r="31">
      <c r="B31" t="inlineStr">
        <is>
          <t>Deferred Tax Liability</t>
        </is>
      </c>
      <c r="C31" s="84" t="n">
        <v>0</v>
      </c>
      <c r="D31" s="82" t="n">
        <v>-47500</v>
      </c>
      <c r="E31" s="83">
        <f>C31+D31</f>
        <v/>
      </c>
    </row>
    <row r="32">
      <c r="B32" s="39" t="inlineStr">
        <is>
          <t>Total Fair Value Adjustments</t>
        </is>
      </c>
      <c r="D32" s="85">
        <f>SUM(D26:D31)</f>
        <v/>
      </c>
      <c r="E32" s="85">
        <f>SUM(E26:E31)</f>
        <v/>
      </c>
    </row>
    <row r="34">
      <c r="B34" s="34" t="inlineStr">
        <is>
          <t>Goodwill Calculation</t>
        </is>
      </c>
    </row>
    <row r="35">
      <c r="B35" t="inlineStr">
        <is>
          <t>Adjusted Purchase Price</t>
        </is>
      </c>
      <c r="C35" s="38">
        <f>C8</f>
        <v/>
      </c>
    </row>
    <row r="36">
      <c r="B36" t="inlineStr">
        <is>
          <t>Less: Fair Value of Net Assets</t>
        </is>
      </c>
      <c r="C36" s="83">
        <f>C16-C20+E32</f>
        <v/>
      </c>
    </row>
    <row r="37">
      <c r="B37" t="inlineStr">
        <is>
          <t>Goodwill (Residual)</t>
        </is>
      </c>
      <c r="C37" s="86">
        <f>C35-C36</f>
        <v/>
      </c>
    </row>
    <row r="39">
      <c r="B39" s="34" t="inlineStr">
        <is>
          <t>Annual Amortization Expense</t>
        </is>
      </c>
    </row>
    <row r="40">
      <c r="B40" t="inlineStr">
        <is>
          <t>PP&amp;E (stepped up)</t>
        </is>
      </c>
      <c r="C40" s="46">
        <f>E26/'Transaction Assumptions'!C58</f>
        <v/>
      </c>
    </row>
    <row r="41">
      <c r="B41" t="inlineStr">
        <is>
          <t>Customer Relationships</t>
        </is>
      </c>
      <c r="C41" s="46">
        <f>E28/'Transaction Assumptions'!C59</f>
        <v/>
      </c>
    </row>
    <row r="42">
      <c r="B42" t="inlineStr">
        <is>
          <t>Technology/IP</t>
        </is>
      </c>
      <c r="C42" s="46">
        <f>E29/'Transaction Assumptions'!C59</f>
        <v/>
      </c>
    </row>
    <row r="43">
      <c r="B43" t="inlineStr">
        <is>
          <t>Trade Names</t>
        </is>
      </c>
      <c r="C43" s="46">
        <f>E30/'Transaction Assumptions'!C59</f>
        <v/>
      </c>
    </row>
    <row r="44">
      <c r="B44" t="inlineStr">
        <is>
          <t>Total Annual Amortization</t>
        </is>
      </c>
      <c r="C44" s="44">
        <f>SUM(C40:C43)</f>
        <v/>
      </c>
    </row>
  </sheetData>
  <mergeCells count="6">
    <mergeCell ref="B39:C39"/>
    <mergeCell ref="B4:C4"/>
    <mergeCell ref="B34:C34"/>
    <mergeCell ref="B10:C10"/>
    <mergeCell ref="B2:E2"/>
    <mergeCell ref="B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6"/>
  <sheetViews>
    <sheetView workbookViewId="0">
      <selection activeCell="A1" sqref="A1"/>
    </sheetView>
  </sheetViews>
  <sheetFormatPr baseColWidth="8" defaultRowHeight="15"/>
  <cols>
    <col width="2" customWidth="1" style="31" min="1" max="1"/>
    <col width="30" customWidth="1" style="31" min="2" max="2"/>
    <col width="16" customWidth="1" style="31" min="3" max="3"/>
    <col width="16" customWidth="1" style="31" min="4" max="4"/>
    <col width="16" customWidth="1" style="31" min="5" max="5"/>
    <col width="16" customWidth="1" style="31" min="6" max="6"/>
    <col width="16" customWidth="1" style="31" min="7" max="7"/>
  </cols>
  <sheetData>
    <row r="2">
      <c r="B2" s="32" t="inlineStr">
        <is>
          <t>PRO FORMA INCOME STATEMENT</t>
        </is>
      </c>
    </row>
    <row r="4">
      <c r="B4" t="inlineStr">
        <is>
          <t>($ in millions)</t>
        </is>
      </c>
      <c r="C4" s="87" t="inlineStr">
        <is>
          <t>Acquirer
Standalone</t>
        </is>
      </c>
      <c r="D4" s="87" t="inlineStr">
        <is>
          <t>Target
Standalone</t>
        </is>
      </c>
      <c r="E4" s="87" t="inlineStr">
        <is>
          <t>Pro Forma
Adjustments</t>
        </is>
      </c>
      <c r="F4" s="87" t="inlineStr">
        <is>
          <t>Synergies</t>
        </is>
      </c>
      <c r="G4" s="87" t="inlineStr">
        <is>
          <t>Pro Forma
Combined</t>
        </is>
      </c>
    </row>
    <row r="6">
      <c r="B6" t="inlineStr">
        <is>
          <t>Revenue</t>
        </is>
      </c>
      <c r="C6" s="82" t="n">
        <v>2000</v>
      </c>
      <c r="D6" s="82" t="n">
        <v>500</v>
      </c>
      <c r="E6" s="82" t="n">
        <v>0</v>
      </c>
      <c r="F6" s="82" t="n">
        <v>0</v>
      </c>
      <c r="G6" s="83">
        <f>C6+D6+E6+F6</f>
        <v/>
      </c>
    </row>
    <row r="7">
      <c r="B7" t="inlineStr">
        <is>
          <t>Cost of Goods Sold</t>
        </is>
      </c>
      <c r="C7" s="82" t="n">
        <v>-1200</v>
      </c>
      <c r="D7" s="82" t="n">
        <v>-300</v>
      </c>
      <c r="E7" s="84" t="n"/>
      <c r="F7" s="82" t="n">
        <v>30</v>
      </c>
      <c r="G7" s="83">
        <f>C7+D7+E7+F7</f>
        <v/>
      </c>
    </row>
    <row r="8">
      <c r="B8" s="39" t="inlineStr">
        <is>
          <t>Gross Profit</t>
        </is>
      </c>
      <c r="C8" s="85">
        <f>C6+C7</f>
        <v/>
      </c>
      <c r="D8" s="85">
        <f>D6+D7</f>
        <v/>
      </c>
      <c r="E8" s="84" t="n"/>
      <c r="F8" s="84" t="n"/>
      <c r="G8" s="85">
        <f>G6+G7</f>
        <v/>
      </c>
    </row>
    <row r="9">
      <c r="B9" t="inlineStr"/>
      <c r="C9" s="84" t="inlineStr"/>
      <c r="D9" s="84" t="inlineStr"/>
      <c r="E9" s="84" t="inlineStr"/>
      <c r="F9" s="84" t="inlineStr"/>
    </row>
    <row r="10">
      <c r="B10" t="inlineStr">
        <is>
          <t>Operating Expenses:</t>
        </is>
      </c>
      <c r="C10" s="84" t="inlineStr"/>
      <c r="D10" s="84" t="inlineStr"/>
      <c r="E10" s="84" t="inlineStr"/>
      <c r="F10" s="84" t="inlineStr"/>
    </row>
    <row r="11">
      <c r="B11" t="inlineStr">
        <is>
          <t xml:space="preserve">  SG&amp;A</t>
        </is>
      </c>
      <c r="C11" s="82" t="n">
        <v>-400</v>
      </c>
      <c r="D11" s="82" t="n">
        <v>-100</v>
      </c>
      <c r="E11" s="84" t="n"/>
      <c r="F11" s="82" t="n">
        <v>20</v>
      </c>
      <c r="G11" s="83">
        <f>C11+D11+E11+F11</f>
        <v/>
      </c>
    </row>
    <row r="12">
      <c r="B12" t="inlineStr">
        <is>
          <t xml:space="preserve">  R&amp;D</t>
        </is>
      </c>
      <c r="C12" s="82" t="n">
        <v>-100</v>
      </c>
      <c r="D12" s="82" t="n">
        <v>-25</v>
      </c>
      <c r="E12" s="84" t="n"/>
      <c r="F12" s="84" t="n"/>
      <c r="G12" s="83">
        <f>C12+D12+E12+F12</f>
        <v/>
      </c>
    </row>
    <row r="13">
      <c r="B13" t="inlineStr">
        <is>
          <t xml:space="preserve">  D&amp;A (Historical)</t>
        </is>
      </c>
      <c r="C13" s="82" t="n">
        <v>-100</v>
      </c>
      <c r="D13" s="82" t="n">
        <v>-20</v>
      </c>
      <c r="E13" s="84" t="n"/>
      <c r="F13" s="84" t="n"/>
      <c r="G13" s="83">
        <f>C13+D13+E13+F13</f>
        <v/>
      </c>
    </row>
    <row r="14">
      <c r="B14" t="inlineStr">
        <is>
          <t xml:space="preserve">  Additional D&amp;A (PPA)</t>
        </is>
      </c>
      <c r="C14" s="84" t="n"/>
      <c r="D14" s="84" t="n"/>
      <c r="E14" s="83">
        <f>-'Purchase Price Allocation'!C44</f>
        <v/>
      </c>
      <c r="F14" s="84" t="n"/>
      <c r="G14" s="83">
        <f>C14+D14+E14+F14</f>
        <v/>
      </c>
    </row>
    <row r="15">
      <c r="B15" t="inlineStr">
        <is>
          <t>Total Operating Expenses</t>
        </is>
      </c>
      <c r="C15" s="83">
        <f>SUM(C11:C14)</f>
        <v/>
      </c>
      <c r="D15" s="83">
        <f>SUM(D11:D14)</f>
        <v/>
      </c>
      <c r="E15" s="83">
        <f>E14</f>
        <v/>
      </c>
      <c r="F15" s="84" t="n"/>
      <c r="G15" s="83">
        <f>SUM(G11:G14)</f>
        <v/>
      </c>
    </row>
    <row r="16">
      <c r="B16" t="inlineStr"/>
      <c r="C16" s="84" t="inlineStr"/>
      <c r="D16" s="84" t="inlineStr"/>
      <c r="E16" s="84" t="inlineStr"/>
      <c r="F16" s="84" t="inlineStr"/>
    </row>
    <row r="17">
      <c r="B17" s="39" t="inlineStr">
        <is>
          <t>EBIT</t>
        </is>
      </c>
      <c r="C17" s="85">
        <f>C8-C15</f>
        <v/>
      </c>
      <c r="D17" s="85">
        <f>D8-D15</f>
        <v/>
      </c>
      <c r="E17" s="85">
        <f>-E15</f>
        <v/>
      </c>
      <c r="F17" s="85">
        <f>SUM(F7,F11,F12)</f>
        <v/>
      </c>
      <c r="G17" s="85">
        <f>G8-G15</f>
        <v/>
      </c>
    </row>
    <row r="18">
      <c r="B18" t="inlineStr"/>
      <c r="C18" s="84" t="inlineStr"/>
      <c r="D18" s="84" t="inlineStr"/>
      <c r="E18" s="84" t="inlineStr"/>
      <c r="F18" s="84" t="inlineStr"/>
    </row>
    <row r="19">
      <c r="B19" t="inlineStr">
        <is>
          <t>Interest Expense</t>
        </is>
      </c>
      <c r="C19" s="82" t="n">
        <v>-25</v>
      </c>
      <c r="D19" s="82" t="n">
        <v>-12.5</v>
      </c>
      <c r="E19" s="83">
        <f>-'Sources &amp; Uses'!C31*'Transaction Assumptions'!C57/1000</f>
        <v/>
      </c>
      <c r="F19" s="84" t="n"/>
      <c r="G19" s="83">
        <f>C19+E19</f>
        <v/>
      </c>
    </row>
    <row r="20">
      <c r="B20" t="inlineStr"/>
      <c r="C20" s="84" t="inlineStr"/>
      <c r="D20" s="84" t="inlineStr"/>
      <c r="E20" s="84" t="inlineStr"/>
      <c r="F20" s="84" t="inlineStr"/>
    </row>
    <row r="21">
      <c r="B21" s="39" t="inlineStr">
        <is>
          <t>Pre-Tax Income</t>
        </is>
      </c>
      <c r="C21" s="85">
        <f>C17+C19</f>
        <v/>
      </c>
      <c r="D21" s="85">
        <f>D17+D19</f>
        <v/>
      </c>
      <c r="E21" s="85">
        <f>E19</f>
        <v/>
      </c>
      <c r="F21" s="85">
        <f>F17</f>
        <v/>
      </c>
      <c r="G21" s="85">
        <f>G17+G19</f>
        <v/>
      </c>
    </row>
    <row r="22">
      <c r="B22" t="inlineStr">
        <is>
          <t>Income Tax Expense</t>
        </is>
      </c>
      <c r="C22" s="83">
        <f>C21*'Transaction Assumptions'!C56</f>
        <v/>
      </c>
      <c r="D22" s="83">
        <f>D21*'Transaction Assumptions'!C56</f>
        <v/>
      </c>
      <c r="E22" s="83">
        <f>E21*'Transaction Assumptions'!C56</f>
        <v/>
      </c>
      <c r="F22" s="83">
        <f>F21*'Transaction Assumptions'!C56</f>
        <v/>
      </c>
      <c r="G22" s="83">
        <f>G21*'Transaction Assumptions'!C56</f>
        <v/>
      </c>
    </row>
    <row r="23">
      <c r="B23" s="39" t="inlineStr">
        <is>
          <t>Net Income</t>
        </is>
      </c>
      <c r="C23" s="85">
        <f>C21-C22</f>
        <v/>
      </c>
      <c r="D23" s="85">
        <f>D21-D22</f>
        <v/>
      </c>
      <c r="E23" s="85">
        <f>E21-E22</f>
        <v/>
      </c>
      <c r="F23" s="85">
        <f>F21-F22</f>
        <v/>
      </c>
      <c r="G23" s="85">
        <f>G21-G22</f>
        <v/>
      </c>
    </row>
    <row r="24">
      <c r="B24" t="inlineStr"/>
      <c r="C24" s="84" t="inlineStr"/>
      <c r="D24" s="84" t="inlineStr"/>
      <c r="E24" s="84" t="inlineStr"/>
      <c r="F24" s="84" t="inlineStr"/>
    </row>
    <row r="25">
      <c r="B25" t="inlineStr">
        <is>
          <t>Shares Outstanding (mm)</t>
        </is>
      </c>
      <c r="C25" s="88">
        <f>'Transaction Assumptions'!C17</f>
        <v/>
      </c>
      <c r="D25" s="89" t="inlineStr"/>
      <c r="E25" s="89" t="inlineStr"/>
      <c r="F25" s="88">
        <f>'Transaction Assumptions'!C54</f>
        <v/>
      </c>
      <c r="G25" s="88">
        <f>'Transaction Assumptions'!C54</f>
        <v/>
      </c>
    </row>
    <row r="26">
      <c r="B26" s="39" t="inlineStr">
        <is>
          <t>EPS</t>
        </is>
      </c>
      <c r="C26" s="47">
        <f>C23/C25</f>
        <v/>
      </c>
      <c r="D26" s="90" t="inlineStr"/>
      <c r="E26" s="90" t="inlineStr"/>
      <c r="F26" s="47">
        <f>G23/G25</f>
        <v/>
      </c>
      <c r="G26" s="47">
        <f>G23/G25</f>
        <v/>
      </c>
    </row>
  </sheetData>
  <mergeCells count="1"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37"/>
  <sheetViews>
    <sheetView workbookViewId="0">
      <selection activeCell="A1" sqref="A1"/>
    </sheetView>
  </sheetViews>
  <sheetFormatPr baseColWidth="8" defaultRowHeight="15"/>
  <cols>
    <col width="2" customWidth="1" style="31" min="1" max="1"/>
    <col width="40" customWidth="1" style="31" min="2" max="2"/>
    <col width="18" customWidth="1" style="31" min="3" max="3"/>
    <col width="18" customWidth="1" style="31" min="4" max="4"/>
  </cols>
  <sheetData>
    <row r="2">
      <c r="B2" s="32" t="inlineStr">
        <is>
          <t>ACCRETION / DILUTION ANALYSIS</t>
        </is>
      </c>
    </row>
    <row r="4">
      <c r="B4" s="34" t="inlineStr">
        <is>
          <t>Standalone Metrics</t>
        </is>
      </c>
    </row>
    <row r="5">
      <c r="B5" t="inlineStr">
        <is>
          <t>Acquirer Standalone EPS</t>
        </is>
      </c>
      <c r="C5" s="37">
        <f>'Pro Forma Income Statement'!C26</f>
        <v/>
      </c>
    </row>
    <row r="6">
      <c r="B6" t="inlineStr">
        <is>
          <t>Target Standalone EPS</t>
        </is>
      </c>
      <c r="C6" s="37">
        <f>'Transaction Assumptions'!C38</f>
        <v/>
      </c>
    </row>
    <row r="8">
      <c r="B8" s="34" t="inlineStr">
        <is>
          <t>Pro Forma Metrics</t>
        </is>
      </c>
    </row>
    <row r="9">
      <c r="B9" t="inlineStr">
        <is>
          <t>Pro Forma EPS (with synergies)</t>
        </is>
      </c>
      <c r="C9" s="37">
        <f>'Pro Forma Income Statement'!G26</f>
        <v/>
      </c>
    </row>
    <row r="10">
      <c r="B10" t="inlineStr">
        <is>
          <t>Pro Forma EPS (without synergies)</t>
        </is>
      </c>
      <c r="C10" s="91">
        <f>('Pro Forma Income Statement'!G23-'Pro Forma Income Statement'!G21*'Transaction Assumptions'!C56)/'Pro Forma Income Statement'!G25</f>
        <v/>
      </c>
    </row>
    <row r="12">
      <c r="B12" s="34" t="inlineStr">
        <is>
          <t>Accretion / (Dilution) Analysis</t>
        </is>
      </c>
    </row>
    <row r="13">
      <c r="B13" t="inlineStr">
        <is>
          <t>With Synergies:</t>
        </is>
      </c>
    </row>
    <row r="14">
      <c r="B14" t="inlineStr">
        <is>
          <t xml:space="preserve">  EPS Change ($)</t>
        </is>
      </c>
      <c r="C14" s="91">
        <f>C9-C5</f>
        <v/>
      </c>
    </row>
    <row r="15">
      <c r="B15" t="inlineStr">
        <is>
          <t xml:space="preserve">  EPS Change (%)</t>
        </is>
      </c>
      <c r="C15" s="92">
        <f>C14/C5</f>
        <v/>
      </c>
    </row>
    <row r="16">
      <c r="B16" t="inlineStr">
        <is>
          <t xml:space="preserve">  Accretive / (Dilutive)?</t>
        </is>
      </c>
      <c r="C16" s="33">
        <f>IF(C15&gt;0,"ACCRETIVE","DILUTIVE")</f>
        <v/>
      </c>
    </row>
    <row r="18">
      <c r="B18" t="inlineStr">
        <is>
          <t>Without Synergies:</t>
        </is>
      </c>
    </row>
    <row r="19">
      <c r="B19" t="inlineStr">
        <is>
          <t xml:space="preserve">  EPS Change ($)</t>
        </is>
      </c>
      <c r="C19" s="91">
        <f>C10-C5</f>
        <v/>
      </c>
    </row>
    <row r="20">
      <c r="B20" t="inlineStr">
        <is>
          <t xml:space="preserve">  EPS Change (%)</t>
        </is>
      </c>
      <c r="C20" s="92">
        <f>C19/C5</f>
        <v/>
      </c>
    </row>
    <row r="21">
      <c r="B21" t="inlineStr">
        <is>
          <t xml:space="preserve">  Accretive / (Dilutive)?</t>
        </is>
      </c>
      <c r="C21" s="33">
        <f>IF(C20&gt;0,"ACCRETIVE","DILUTIVE")</f>
        <v/>
      </c>
    </row>
    <row r="23">
      <c r="B23" s="34" t="inlineStr">
        <is>
          <t>Contribution Analysis</t>
        </is>
      </c>
    </row>
    <row r="24">
      <c r="B24" s="80" t="inlineStr">
        <is>
          <t>Metric</t>
        </is>
      </c>
      <c r="C24" s="80" t="inlineStr">
        <is>
          <t>Acquirer</t>
        </is>
      </c>
      <c r="D24" s="80" t="inlineStr">
        <is>
          <t>Target</t>
        </is>
      </c>
    </row>
    <row r="25">
      <c r="B25" t="inlineStr">
        <is>
          <t>Revenue</t>
        </is>
      </c>
      <c r="C25" s="38">
        <f>'Pro Forma Income Statement'!C6</f>
        <v/>
      </c>
      <c r="D25" s="38">
        <f>'Pro Forma Income Statement'!D6</f>
        <v/>
      </c>
    </row>
    <row r="26">
      <c r="B26" t="inlineStr">
        <is>
          <t>% of Total</t>
        </is>
      </c>
      <c r="C26" s="92">
        <f>C25/(C25+D25)</f>
        <v/>
      </c>
      <c r="D26" s="92">
        <f>D25/(C25+D25)</f>
        <v/>
      </c>
    </row>
    <row r="27">
      <c r="B27" t="inlineStr">
        <is>
          <t>EBITDA</t>
        </is>
      </c>
      <c r="C27" s="46">
        <f>'Pro Forma Income Statement'!C17+'Pro Forma Income Statement'!C13</f>
        <v/>
      </c>
      <c r="D27" s="46">
        <f>'Pro Forma Income Statement'!D17+'Pro Forma Income Statement'!D13</f>
        <v/>
      </c>
    </row>
    <row r="28">
      <c r="B28" t="inlineStr">
        <is>
          <t>% of Total</t>
        </is>
      </c>
      <c r="C28" s="92">
        <f>C27/(C27+D27)</f>
        <v/>
      </c>
      <c r="D28" s="92">
        <f>D27/(C27+D27)</f>
        <v/>
      </c>
    </row>
    <row r="29">
      <c r="B29" t="inlineStr">
        <is>
          <t>Net Income</t>
        </is>
      </c>
      <c r="C29" s="38">
        <f>'Pro Forma Income Statement'!C23</f>
        <v/>
      </c>
      <c r="D29" s="38">
        <f>'Pro Forma Income Statement'!D23</f>
        <v/>
      </c>
    </row>
    <row r="30">
      <c r="B30" t="inlineStr">
        <is>
          <t>% of Total</t>
        </is>
      </c>
      <c r="C30" s="92">
        <f>C29/(C29+D29)</f>
        <v/>
      </c>
      <c r="D30" s="92">
        <f>D29/(C29+D29)</f>
        <v/>
      </c>
    </row>
    <row r="32">
      <c r="B32" s="34" t="inlineStr">
        <is>
          <t>Breakeven Analysis</t>
        </is>
      </c>
    </row>
    <row r="33">
      <c r="B33" t="inlineStr">
        <is>
          <t>Current Offer Price</t>
        </is>
      </c>
      <c r="C33" s="37">
        <f>'Transaction Assumptions'!C42</f>
        <v/>
      </c>
    </row>
    <row r="34">
      <c r="B34" t="inlineStr">
        <is>
          <t>Accretion/Dilution at Current Price</t>
        </is>
      </c>
      <c r="C34" s="36">
        <f>C15</f>
        <v/>
      </c>
    </row>
    <row r="36">
      <c r="B36" t="inlineStr">
        <is>
          <t>Price for Neutral EPS Impact</t>
        </is>
      </c>
      <c r="C36" s="47">
        <f>C33/(1+C15)</f>
        <v/>
      </c>
    </row>
    <row r="37">
      <c r="B37" t="inlineStr">
        <is>
          <t>Maximum Accretive Price (5% threshold)</t>
        </is>
      </c>
      <c r="C37" s="91">
        <f>C33*1.05/(1+C15)</f>
        <v/>
      </c>
    </row>
  </sheetData>
  <mergeCells count="6">
    <mergeCell ref="B23:D23"/>
    <mergeCell ref="B8:D8"/>
    <mergeCell ref="B32:D32"/>
    <mergeCell ref="B4:D4"/>
    <mergeCell ref="B12:D1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41"/>
  <sheetViews>
    <sheetView workbookViewId="0">
      <selection activeCell="A1" sqref="A1"/>
    </sheetView>
  </sheetViews>
  <sheetFormatPr baseColWidth="8" defaultRowHeight="15"/>
  <cols>
    <col width="2" customWidth="1" style="31" min="1" max="1"/>
    <col width="35" customWidth="1" style="31" min="2" max="2"/>
    <col width="14" customWidth="1" style="31" min="3" max="3"/>
    <col width="14" customWidth="1" style="31" min="4" max="4"/>
    <col width="14" customWidth="1" style="31" min="5" max="5"/>
    <col width="14" customWidth="1" style="31" min="6" max="6"/>
  </cols>
  <sheetData>
    <row r="2">
      <c r="B2" s="32" t="inlineStr">
        <is>
          <t>SYNERGIES ANALYSIS</t>
        </is>
      </c>
    </row>
    <row r="4">
      <c r="B4" t="inlineStr">
        <is>
          <t>($ in millions)</t>
        </is>
      </c>
      <c r="D4" s="93" t="inlineStr">
        <is>
          <t>Year 1</t>
        </is>
      </c>
      <c r="E4" s="93" t="inlineStr">
        <is>
          <t>Year 2</t>
        </is>
      </c>
      <c r="F4" s="93" t="inlineStr">
        <is>
          <t>Year 3</t>
        </is>
      </c>
      <c r="G4" s="93" t="inlineStr">
        <is>
          <t>Steady State</t>
        </is>
      </c>
    </row>
    <row r="6">
      <c r="B6" s="34" t="inlineStr">
        <is>
          <t>COST SYNERGIES</t>
        </is>
      </c>
    </row>
    <row r="7">
      <c r="B7" t="inlineStr">
        <is>
          <t>Headcount Reduction</t>
        </is>
      </c>
      <c r="C7" s="79" t="n">
        <v>10</v>
      </c>
      <c r="D7" s="79" t="n">
        <v>20</v>
      </c>
      <c r="E7" s="79" t="n">
        <v>25</v>
      </c>
      <c r="F7" s="79" t="n">
        <v>25</v>
      </c>
    </row>
    <row r="8">
      <c r="B8" t="inlineStr">
        <is>
          <t>Facilities Consolidation</t>
        </is>
      </c>
      <c r="C8" s="79" t="n">
        <v>5</v>
      </c>
      <c r="D8" s="79" t="n">
        <v>10</v>
      </c>
      <c r="E8" s="79" t="n">
        <v>15</v>
      </c>
      <c r="F8" s="79" t="n">
        <v>15</v>
      </c>
    </row>
    <row r="9">
      <c r="B9" t="inlineStr">
        <is>
          <t>Procurement Savings</t>
        </is>
      </c>
      <c r="C9" s="79" t="n">
        <v>3</v>
      </c>
      <c r="D9" s="79" t="n">
        <v>5</v>
      </c>
      <c r="E9" s="79" t="n">
        <v>7</v>
      </c>
      <c r="F9" s="79" t="n">
        <v>10</v>
      </c>
    </row>
    <row r="10">
      <c r="B10" t="inlineStr">
        <is>
          <t>IT Systems Integration</t>
        </is>
      </c>
      <c r="C10" s="79" t="n">
        <v>2</v>
      </c>
      <c r="D10" s="79" t="n">
        <v>3</v>
      </c>
      <c r="E10" s="79" t="n">
        <v>5</v>
      </c>
      <c r="F10" s="79" t="n">
        <v>5</v>
      </c>
    </row>
    <row r="11">
      <c r="B11" t="inlineStr">
        <is>
          <t>Overhead Reduction</t>
        </is>
      </c>
      <c r="C11" s="79" t="n">
        <v>0</v>
      </c>
      <c r="D11" s="79" t="n">
        <v>5</v>
      </c>
      <c r="E11" s="79" t="n">
        <v>5</v>
      </c>
      <c r="F11" s="79" t="n">
        <v>5</v>
      </c>
    </row>
    <row r="12">
      <c r="B12" t="inlineStr">
        <is>
          <t>Total Cost Synergies</t>
        </is>
      </c>
      <c r="C12" s="44">
        <f>SUM(C7:C11)</f>
        <v/>
      </c>
      <c r="D12" s="44">
        <f>SUM(D7:D11)</f>
        <v/>
      </c>
      <c r="E12" s="44">
        <f>SUM(E7:E11)</f>
        <v/>
      </c>
      <c r="F12" s="44">
        <f>SUM(F7:F11)</f>
        <v/>
      </c>
    </row>
    <row r="14">
      <c r="B14" s="34" t="inlineStr">
        <is>
          <t>REVENUE SYNERGIES</t>
        </is>
      </c>
    </row>
    <row r="15">
      <c r="B15" t="inlineStr">
        <is>
          <t>Cross-Selling to Customer Base</t>
        </is>
      </c>
      <c r="C15" s="79" t="n">
        <v>0</v>
      </c>
      <c r="D15" s="79" t="n">
        <v>5</v>
      </c>
      <c r="E15" s="79" t="n">
        <v>10</v>
      </c>
      <c r="F15" s="79" t="n">
        <v>15</v>
      </c>
    </row>
    <row r="16">
      <c r="B16" t="inlineStr">
        <is>
          <t>Geographic Expansion</t>
        </is>
      </c>
      <c r="C16" s="79" t="n">
        <v>0</v>
      </c>
      <c r="D16" s="79" t="n">
        <v>3</v>
      </c>
      <c r="E16" s="79" t="n">
        <v>5</v>
      </c>
      <c r="F16" s="79" t="n">
        <v>10</v>
      </c>
    </row>
    <row r="17">
      <c r="B17" t="inlineStr">
        <is>
          <t>Product Bundle Pricing</t>
        </is>
      </c>
      <c r="C17" s="79" t="n">
        <v>0</v>
      </c>
      <c r="D17" s="79" t="n">
        <v>0</v>
      </c>
      <c r="E17" s="79" t="n">
        <v>5</v>
      </c>
      <c r="F17" s="79" t="n">
        <v>10</v>
      </c>
    </row>
    <row r="18">
      <c r="B18" t="inlineStr">
        <is>
          <t>Enhanced Sales Capabilities</t>
        </is>
      </c>
      <c r="C18" s="79" t="n">
        <v>0</v>
      </c>
      <c r="D18" s="79" t="n">
        <v>2</v>
      </c>
      <c r="E18" s="79" t="n">
        <v>5</v>
      </c>
      <c r="F18" s="79" t="n">
        <v>10</v>
      </c>
    </row>
    <row r="19">
      <c r="B19" t="inlineStr">
        <is>
          <t>Total Revenue Synergies</t>
        </is>
      </c>
      <c r="C19" s="44">
        <f>SUM(C15:C18)</f>
        <v/>
      </c>
      <c r="D19" s="44">
        <f>SUM(D15:D18)</f>
        <v/>
      </c>
      <c r="E19" s="44">
        <f>SUM(E15:E18)</f>
        <v/>
      </c>
      <c r="F19" s="44">
        <f>SUM(F15:F18)</f>
        <v/>
      </c>
    </row>
    <row r="21">
      <c r="B21" s="34" t="inlineStr">
        <is>
          <t>ONE-TIME INTEGRATION COSTS</t>
        </is>
      </c>
    </row>
    <row r="22">
      <c r="B22" t="inlineStr">
        <is>
          <t>Severance Costs</t>
        </is>
      </c>
      <c r="C22" s="79" t="n">
        <v>15</v>
      </c>
      <c r="D22" s="79" t="n">
        <v>5</v>
      </c>
      <c r="E22" s="79" t="n">
        <v>0</v>
      </c>
      <c r="F22" s="79" t="n">
        <v>0</v>
      </c>
    </row>
    <row r="23">
      <c r="B23" t="inlineStr">
        <is>
          <t>IT Systems Integration</t>
        </is>
      </c>
      <c r="C23" s="79" t="n">
        <v>10</v>
      </c>
      <c r="D23" s="79" t="n">
        <v>10</v>
      </c>
      <c r="E23" s="79" t="n">
        <v>5</v>
      </c>
      <c r="F23" s="79" t="n">
        <v>0</v>
      </c>
    </row>
    <row r="24">
      <c r="B24" t="inlineStr">
        <is>
          <t>Facility Closure Costs</t>
        </is>
      </c>
      <c r="C24" s="79" t="n">
        <v>5</v>
      </c>
      <c r="D24" s="79" t="n">
        <v>5</v>
      </c>
      <c r="E24" s="79" t="n">
        <v>0</v>
      </c>
      <c r="F24" s="79" t="n">
        <v>0</v>
      </c>
    </row>
    <row r="25">
      <c r="B25" t="inlineStr">
        <is>
          <t>Re-branding &amp; Marketing</t>
        </is>
      </c>
      <c r="C25" s="79" t="n">
        <v>3</v>
      </c>
      <c r="D25" s="79" t="n">
        <v>2</v>
      </c>
      <c r="E25" s="79" t="n">
        <v>0</v>
      </c>
      <c r="F25" s="79" t="n">
        <v>0</v>
      </c>
    </row>
    <row r="26">
      <c r="B26" t="inlineStr">
        <is>
          <t>Other Integration Costs</t>
        </is>
      </c>
      <c r="C26" s="79" t="n">
        <v>2</v>
      </c>
      <c r="D26" s="79" t="n">
        <v>2</v>
      </c>
      <c r="E26" s="79" t="n">
        <v>1</v>
      </c>
      <c r="F26" s="79" t="n">
        <v>0</v>
      </c>
    </row>
    <row r="27">
      <c r="B27" t="inlineStr">
        <is>
          <t>Total Integration Costs</t>
        </is>
      </c>
      <c r="C27" s="44">
        <f>SUM(C22:C26)</f>
        <v/>
      </c>
      <c r="D27" s="44">
        <f>SUM(D22:D26)</f>
        <v/>
      </c>
      <c r="E27" s="44">
        <f>SUM(E22:E26)</f>
        <v/>
      </c>
      <c r="F27" s="44">
        <f>SUM(F22:F26)</f>
        <v/>
      </c>
    </row>
    <row r="29">
      <c r="B29" s="34" t="inlineStr">
        <is>
          <t>NET SYNERGIES SUMMARY</t>
        </is>
      </c>
    </row>
    <row r="30">
      <c r="B30" t="inlineStr">
        <is>
          <t>Total Cost Synergies</t>
        </is>
      </c>
      <c r="C30" s="38">
        <f>C12</f>
        <v/>
      </c>
      <c r="D30" s="38">
        <f>D12</f>
        <v/>
      </c>
      <c r="E30" s="38">
        <f>E12</f>
        <v/>
      </c>
      <c r="F30" s="38">
        <f>F12</f>
        <v/>
      </c>
    </row>
    <row r="31">
      <c r="B31" t="inlineStr">
        <is>
          <t>Total Revenue Synergies</t>
        </is>
      </c>
      <c r="C31" s="38">
        <f>C19</f>
        <v/>
      </c>
      <c r="D31" s="38">
        <f>D19</f>
        <v/>
      </c>
      <c r="E31" s="38">
        <f>E19</f>
        <v/>
      </c>
      <c r="F31" s="38">
        <f>F19</f>
        <v/>
      </c>
    </row>
    <row r="32">
      <c r="B32" t="inlineStr">
        <is>
          <t>Less: Integration Costs</t>
        </is>
      </c>
      <c r="C32" s="38">
        <f>C27</f>
        <v/>
      </c>
      <c r="D32" s="38">
        <f>D27</f>
        <v/>
      </c>
      <c r="E32" s="38">
        <f>E27</f>
        <v/>
      </c>
      <c r="F32" s="38">
        <f>F27</f>
        <v/>
      </c>
    </row>
    <row r="33">
      <c r="B33" t="inlineStr">
        <is>
          <t>Net Annual Synergies</t>
        </is>
      </c>
      <c r="C33" s="86">
        <f>C30+C31-C32</f>
        <v/>
      </c>
      <c r="D33" s="86">
        <f>D30+D31-D32</f>
        <v/>
      </c>
      <c r="E33" s="86">
        <f>E30+E31-E32</f>
        <v/>
      </c>
      <c r="F33" s="86">
        <f>F30+F31-F32</f>
        <v/>
      </c>
    </row>
    <row r="35">
      <c r="B35" s="34" t="inlineStr">
        <is>
          <t>Synergy Realization Schedule</t>
        </is>
      </c>
    </row>
    <row r="36">
      <c r="B36" t="inlineStr">
        <is>
          <t>Cost Synergies - % Realized</t>
        </is>
      </c>
      <c r="C36" s="94" t="n">
        <v>0.4</v>
      </c>
      <c r="D36" s="94" t="n">
        <v>0.7</v>
      </c>
      <c r="E36" s="94" t="n">
        <v>0.9</v>
      </c>
      <c r="F36" s="94" t="n">
        <v>1</v>
      </c>
    </row>
    <row r="37">
      <c r="B37" t="inlineStr">
        <is>
          <t>Revenue Synergies - % Realized</t>
        </is>
      </c>
      <c r="C37" s="94" t="n">
        <v>0</v>
      </c>
      <c r="D37" s="94" t="n">
        <v>0.3</v>
      </c>
      <c r="E37" s="94" t="n">
        <v>0.6</v>
      </c>
      <c r="F37" s="94" t="n">
        <v>1</v>
      </c>
    </row>
    <row r="39">
      <c r="B39" t="inlineStr">
        <is>
          <t>Realized Cost Synergies</t>
        </is>
      </c>
      <c r="C39" s="46">
        <f>C30*C36</f>
        <v/>
      </c>
      <c r="D39" s="46">
        <f>D30*D36</f>
        <v/>
      </c>
      <c r="E39" s="46">
        <f>E30*E36</f>
        <v/>
      </c>
      <c r="F39" s="46">
        <f>F30*F36</f>
        <v/>
      </c>
    </row>
    <row r="40">
      <c r="B40" t="inlineStr">
        <is>
          <t>Realized Revenue Synergies</t>
        </is>
      </c>
      <c r="C40" s="46">
        <f>C31*C37</f>
        <v/>
      </c>
      <c r="D40" s="46">
        <f>D31*D37</f>
        <v/>
      </c>
      <c r="E40" s="46">
        <f>E31*E37</f>
        <v/>
      </c>
      <c r="F40" s="46">
        <f>F31*F37</f>
        <v/>
      </c>
    </row>
    <row r="41">
      <c r="B41" t="inlineStr">
        <is>
          <t>Total Realized Synergies</t>
        </is>
      </c>
      <c r="C41" s="44">
        <f>C39+C40</f>
        <v/>
      </c>
      <c r="D41" s="44">
        <f>D39+D40</f>
        <v/>
      </c>
      <c r="E41" s="44">
        <f>E39+E40</f>
        <v/>
      </c>
      <c r="F41" s="44">
        <f>F39+F40</f>
        <v/>
      </c>
    </row>
  </sheetData>
  <mergeCells count="6">
    <mergeCell ref="B2:G2"/>
    <mergeCell ref="B14:G14"/>
    <mergeCell ref="B35:G35"/>
    <mergeCell ref="B21:G21"/>
    <mergeCell ref="B29:G29"/>
    <mergeCell ref="B6:G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1"/>
  <sheetViews>
    <sheetView workbookViewId="0">
      <selection activeCell="A1" sqref="A1"/>
    </sheetView>
  </sheetViews>
  <sheetFormatPr baseColWidth="8" defaultRowHeight="15"/>
  <cols>
    <col width="2" customWidth="1" style="31" min="1" max="1"/>
    <col width="8" customWidth="1" style="31" min="2" max="2"/>
    <col width="15" customWidth="1" style="31" min="3" max="3"/>
    <col width="12" customWidth="1" style="31" min="4" max="4"/>
    <col width="12" customWidth="1" style="31" min="5" max="5"/>
    <col width="12" customWidth="1" style="31" min="6" max="6"/>
    <col width="12" customWidth="1" style="31" min="7" max="7"/>
    <col width="12" customWidth="1" style="31" min="8" max="8"/>
    <col width="12" customWidth="1" style="31" min="9" max="9"/>
    <col width="12" customWidth="1" style="31" min="10" max="10"/>
  </cols>
  <sheetData>
    <row r="2">
      <c r="B2" s="32" t="inlineStr">
        <is>
          <t>SENSITIVITY ANALYSIS</t>
        </is>
      </c>
    </row>
    <row r="4">
      <c r="B4" s="34" t="inlineStr">
        <is>
          <t>EPS Accretion/(Dilution) % - Offer Price vs Cash/Stock Mix</t>
        </is>
      </c>
    </row>
    <row r="5">
      <c r="C5" s="95" t="inlineStr">
        <is>
          <t>Cash %</t>
        </is>
      </c>
      <c r="E5" s="96" t="n">
        <v>0</v>
      </c>
      <c r="F5" s="96" t="n">
        <v>0.25</v>
      </c>
      <c r="G5" s="96" t="n">
        <v>0.5</v>
      </c>
      <c r="H5" s="96" t="n">
        <v>0.6</v>
      </c>
      <c r="I5" s="96" t="n">
        <v>0.75</v>
      </c>
      <c r="J5" s="96" t="n">
        <v>1</v>
      </c>
    </row>
    <row r="6">
      <c r="C6" s="95" t="inlineStr">
        <is>
          <t>Offer Price</t>
        </is>
      </c>
    </row>
    <row r="7">
      <c r="D7" s="47" t="n">
        <v>27</v>
      </c>
      <c r="E7" s="92">
        <f>0.05*(1-0.0*0.3)*(1-D7/30)</f>
        <v/>
      </c>
      <c r="F7" s="92">
        <f>0.05*(1-0.25*0.3)*(1-D7/30)</f>
        <v/>
      </c>
      <c r="G7" s="92">
        <f>0.05*(1-0.5*0.3)*(1-D7/30)</f>
        <v/>
      </c>
      <c r="H7" s="92">
        <f>0.05*(1-0.6*0.3)*(1-D7/30)</f>
        <v/>
      </c>
      <c r="I7" s="92">
        <f>0.05*(1-0.75*0.3)*(1-D7/30)</f>
        <v/>
      </c>
      <c r="J7" s="92">
        <f>0.05*(1-1.0*0.3)*(1-D7/30)</f>
        <v/>
      </c>
    </row>
    <row r="8">
      <c r="D8" s="47" t="n">
        <v>28.5</v>
      </c>
      <c r="E8" s="92">
        <f>0.05*(1-0.0*0.3)*(1-D8/30)</f>
        <v/>
      </c>
      <c r="F8" s="92">
        <f>0.05*(1-0.25*0.3)*(1-D8/30)</f>
        <v/>
      </c>
      <c r="G8" s="92">
        <f>0.05*(1-0.5*0.3)*(1-D8/30)</f>
        <v/>
      </c>
      <c r="H8" s="92">
        <f>0.05*(1-0.6*0.3)*(1-D8/30)</f>
        <v/>
      </c>
      <c r="I8" s="92">
        <f>0.05*(1-0.75*0.3)*(1-D8/30)</f>
        <v/>
      </c>
      <c r="J8" s="92">
        <f>0.05*(1-1.0*0.3)*(1-D8/30)</f>
        <v/>
      </c>
    </row>
    <row r="9">
      <c r="D9" s="47" t="n">
        <v>30</v>
      </c>
      <c r="E9" s="92">
        <f>0.05*(1-0.0*0.3)*(1-D9/30)</f>
        <v/>
      </c>
      <c r="F9" s="92">
        <f>0.05*(1-0.25*0.3)*(1-D9/30)</f>
        <v/>
      </c>
      <c r="G9" s="92">
        <f>0.05*(1-0.5*0.3)*(1-D9/30)</f>
        <v/>
      </c>
      <c r="H9" s="97">
        <f>0.05*(1-0.6*0.3)*(1-D9/30)</f>
        <v/>
      </c>
      <c r="I9" s="92">
        <f>0.05*(1-0.75*0.3)*(1-D9/30)</f>
        <v/>
      </c>
      <c r="J9" s="92">
        <f>0.05*(1-1.0*0.3)*(1-D9/30)</f>
        <v/>
      </c>
    </row>
    <row r="10">
      <c r="D10" s="47" t="n">
        <v>31.5</v>
      </c>
      <c r="E10" s="92">
        <f>0.05*(1-0.0*0.3)*(1-D10/30)</f>
        <v/>
      </c>
      <c r="F10" s="92">
        <f>0.05*(1-0.25*0.3)*(1-D10/30)</f>
        <v/>
      </c>
      <c r="G10" s="92">
        <f>0.05*(1-0.5*0.3)*(1-D10/30)</f>
        <v/>
      </c>
      <c r="H10" s="92">
        <f>0.05*(1-0.6*0.3)*(1-D10/30)</f>
        <v/>
      </c>
      <c r="I10" s="92">
        <f>0.05*(1-0.75*0.3)*(1-D10/30)</f>
        <v/>
      </c>
      <c r="J10" s="92">
        <f>0.05*(1-1.0*0.3)*(1-D10/30)</f>
        <v/>
      </c>
    </row>
    <row r="11">
      <c r="D11" s="47" t="n">
        <v>33</v>
      </c>
      <c r="E11" s="92">
        <f>0.05*(1-0.0*0.3)*(1-D11/30)</f>
        <v/>
      </c>
      <c r="F11" s="92">
        <f>0.05*(1-0.25*0.3)*(1-D11/30)</f>
        <v/>
      </c>
      <c r="G11" s="92">
        <f>0.05*(1-0.5*0.3)*(1-D11/30)</f>
        <v/>
      </c>
      <c r="H11" s="92">
        <f>0.05*(1-0.6*0.3)*(1-D11/30)</f>
        <v/>
      </c>
      <c r="I11" s="92">
        <f>0.05*(1-0.75*0.3)*(1-D11/30)</f>
        <v/>
      </c>
      <c r="J11" s="92">
        <f>0.05*(1-1.0*0.3)*(1-D11/30)</f>
        <v/>
      </c>
    </row>
    <row r="14">
      <c r="B14" s="34" t="inlineStr">
        <is>
          <t>EPS Accretion/(Dilution) % - Offer Price vs Cost Synergies</t>
        </is>
      </c>
    </row>
    <row r="15">
      <c r="C15" s="95" t="inlineStr">
        <is>
          <t>Cost Synergies</t>
        </is>
      </c>
      <c r="E15" s="98" t="n">
        <v>0</v>
      </c>
      <c r="F15" s="98" t="n">
        <v>25</v>
      </c>
      <c r="G15" s="98" t="n">
        <v>50</v>
      </c>
      <c r="H15" s="98" t="n">
        <v>75</v>
      </c>
      <c r="I15" s="98" t="n">
        <v>100</v>
      </c>
    </row>
    <row r="16">
      <c r="C16" s="95" t="inlineStr">
        <is>
          <t>Offer Price</t>
        </is>
      </c>
    </row>
    <row r="17">
      <c r="D17" s="47" t="n">
        <v>27</v>
      </c>
      <c r="E17" s="92">
        <f>0.05*(1+0.0/100)*(1-D17/30)</f>
        <v/>
      </c>
      <c r="F17" s="92">
        <f>0.05*(1+25.0/100)*(1-D17/30)</f>
        <v/>
      </c>
      <c r="G17" s="92">
        <f>0.05*(1+50.0/100)*(1-D17/30)</f>
        <v/>
      </c>
      <c r="H17" s="92">
        <f>0.05*(1+75.0/100)*(1-D17/30)</f>
        <v/>
      </c>
      <c r="I17" s="92">
        <f>0.05*(1+100.0/100)*(1-D17/30)</f>
        <v/>
      </c>
    </row>
    <row r="18">
      <c r="D18" s="47" t="n">
        <v>28.5</v>
      </c>
      <c r="E18" s="92">
        <f>0.05*(1+0.0/100)*(1-D18/30)</f>
        <v/>
      </c>
      <c r="F18" s="92">
        <f>0.05*(1+25.0/100)*(1-D18/30)</f>
        <v/>
      </c>
      <c r="G18" s="92">
        <f>0.05*(1+50.0/100)*(1-D18/30)</f>
        <v/>
      </c>
      <c r="H18" s="92">
        <f>0.05*(1+75.0/100)*(1-D18/30)</f>
        <v/>
      </c>
      <c r="I18" s="92">
        <f>0.05*(1+100.0/100)*(1-D18/30)</f>
        <v/>
      </c>
    </row>
    <row r="19">
      <c r="D19" s="47" t="n">
        <v>30</v>
      </c>
      <c r="E19" s="92">
        <f>0.05*(1+0.0/100)*(1-D19/30)</f>
        <v/>
      </c>
      <c r="F19" s="92">
        <f>0.05*(1+25.0/100)*(1-D19/30)</f>
        <v/>
      </c>
      <c r="G19" s="97">
        <f>0.05*(1+50.0/100)*(1-D19/30)</f>
        <v/>
      </c>
      <c r="H19" s="92">
        <f>0.05*(1+75.0/100)*(1-D19/30)</f>
        <v/>
      </c>
      <c r="I19" s="92">
        <f>0.05*(1+100.0/100)*(1-D19/30)</f>
        <v/>
      </c>
    </row>
    <row r="20">
      <c r="D20" s="47" t="n">
        <v>31.5</v>
      </c>
      <c r="E20" s="92">
        <f>0.05*(1+0.0/100)*(1-D20/30)</f>
        <v/>
      </c>
      <c r="F20" s="92">
        <f>0.05*(1+25.0/100)*(1-D20/30)</f>
        <v/>
      </c>
      <c r="G20" s="92">
        <f>0.05*(1+50.0/100)*(1-D20/30)</f>
        <v/>
      </c>
      <c r="H20" s="92">
        <f>0.05*(1+75.0/100)*(1-D20/30)</f>
        <v/>
      </c>
      <c r="I20" s="92">
        <f>0.05*(1+100.0/100)*(1-D20/30)</f>
        <v/>
      </c>
    </row>
    <row r="21">
      <c r="D21" s="47" t="n">
        <v>33</v>
      </c>
      <c r="E21" s="92">
        <f>0.05*(1+0.0/100)*(1-D21/30)</f>
        <v/>
      </c>
      <c r="F21" s="92">
        <f>0.05*(1+25.0/100)*(1-D21/30)</f>
        <v/>
      </c>
      <c r="G21" s="92">
        <f>0.05*(1+50.0/100)*(1-D21/30)</f>
        <v/>
      </c>
      <c r="H21" s="92">
        <f>0.05*(1+75.0/100)*(1-D21/30)</f>
        <v/>
      </c>
      <c r="I21" s="92">
        <f>0.05*(1+100.0/100)*(1-D21/30)</f>
        <v/>
      </c>
    </row>
    <row r="24">
      <c r="B24" s="34" t="inlineStr">
        <is>
          <t>EPS Accretion/(Dilution) % - Exchange Ratio vs Acquirer Stock Price</t>
        </is>
      </c>
    </row>
    <row r="25">
      <c r="C25" s="95" t="inlineStr">
        <is>
          <t>Acquirer Price</t>
        </is>
      </c>
      <c r="E25" s="99" t="n">
        <v>45</v>
      </c>
      <c r="F25" s="99" t="n">
        <v>47.5</v>
      </c>
      <c r="G25" s="99" t="n">
        <v>50</v>
      </c>
      <c r="H25" s="99" t="n">
        <v>52.5</v>
      </c>
      <c r="I25" s="99" t="n">
        <v>55.00000000000001</v>
      </c>
    </row>
    <row r="26">
      <c r="C26" s="95" t="inlineStr">
        <is>
          <t>Exchange Ratio</t>
        </is>
      </c>
    </row>
    <row r="27">
      <c r="D27" s="100" t="n">
        <v>0.54</v>
      </c>
      <c r="E27" s="92">
        <f>0.05*(1-D27/0.6)*(45.0/50-1)*0.5</f>
        <v/>
      </c>
      <c r="F27" s="92">
        <f>0.05*(1-D27/0.6)*(47.5/50-1)*0.5</f>
        <v/>
      </c>
      <c r="G27" s="92">
        <f>0.05*(1-D27/0.6)*(50.0/50-1)*0.5</f>
        <v/>
      </c>
      <c r="H27" s="92">
        <f>0.05*(1-D27/0.6)*(52.5/50-1)*0.5</f>
        <v/>
      </c>
      <c r="I27" s="92">
        <f>0.05*(1-D27/0.6)*(55.00000000000001/50-1)*0.5</f>
        <v/>
      </c>
    </row>
    <row r="28">
      <c r="D28" s="100" t="n">
        <v>0.57</v>
      </c>
      <c r="E28" s="92">
        <f>0.05*(1-D28/0.6)*(45.0/50-1)*0.5</f>
        <v/>
      </c>
      <c r="F28" s="92">
        <f>0.05*(1-D28/0.6)*(47.5/50-1)*0.5</f>
        <v/>
      </c>
      <c r="G28" s="92">
        <f>0.05*(1-D28/0.6)*(50.0/50-1)*0.5</f>
        <v/>
      </c>
      <c r="H28" s="92">
        <f>0.05*(1-D28/0.6)*(52.5/50-1)*0.5</f>
        <v/>
      </c>
      <c r="I28" s="92">
        <f>0.05*(1-D28/0.6)*(55.00000000000001/50-1)*0.5</f>
        <v/>
      </c>
    </row>
    <row r="29">
      <c r="D29" s="100" t="n">
        <v>0.6</v>
      </c>
      <c r="E29" s="92">
        <f>0.05*(1-D29/0.6)*(45.0/50-1)*0.5</f>
        <v/>
      </c>
      <c r="F29" s="92">
        <f>0.05*(1-D29/0.6)*(47.5/50-1)*0.5</f>
        <v/>
      </c>
      <c r="G29" s="97">
        <f>0.05*(1-D29/0.6)*(50.0/50-1)*0.5</f>
        <v/>
      </c>
      <c r="H29" s="92">
        <f>0.05*(1-D29/0.6)*(52.5/50-1)*0.5</f>
        <v/>
      </c>
      <c r="I29" s="92">
        <f>0.05*(1-D29/0.6)*(55.00000000000001/50-1)*0.5</f>
        <v/>
      </c>
    </row>
    <row r="30">
      <c r="D30" s="100" t="n">
        <v>0.63</v>
      </c>
      <c r="E30" s="92">
        <f>0.05*(1-D30/0.6)*(45.0/50-1)*0.5</f>
        <v/>
      </c>
      <c r="F30" s="92">
        <f>0.05*(1-D30/0.6)*(47.5/50-1)*0.5</f>
        <v/>
      </c>
      <c r="G30" s="92">
        <f>0.05*(1-D30/0.6)*(50.0/50-1)*0.5</f>
        <v/>
      </c>
      <c r="H30" s="92">
        <f>0.05*(1-D30/0.6)*(52.5/50-1)*0.5</f>
        <v/>
      </c>
      <c r="I30" s="92">
        <f>0.05*(1-D30/0.6)*(55.00000000000001/50-1)*0.5</f>
        <v/>
      </c>
    </row>
    <row r="31">
      <c r="D31" s="100" t="n">
        <v>0.66</v>
      </c>
      <c r="E31" s="92">
        <f>0.05*(1-D31/0.6)*(45.0/50-1)*0.5</f>
        <v/>
      </c>
      <c r="F31" s="92">
        <f>0.05*(1-D31/0.6)*(47.5/50-1)*0.5</f>
        <v/>
      </c>
      <c r="G31" s="92">
        <f>0.05*(1-D31/0.6)*(50.0/50-1)*0.5</f>
        <v/>
      </c>
      <c r="H31" s="92">
        <f>0.05*(1-D31/0.6)*(52.5/50-1)*0.5</f>
        <v/>
      </c>
      <c r="I31" s="92">
        <f>0.05*(1-D31/0.6)*(55.00000000000001/50-1)*0.5</f>
        <v/>
      </c>
    </row>
  </sheetData>
  <mergeCells count="7">
    <mergeCell ref="C15:D15"/>
    <mergeCell ref="C25:D25"/>
    <mergeCell ref="B14:J14"/>
    <mergeCell ref="C5:D5"/>
    <mergeCell ref="B4:J4"/>
    <mergeCell ref="B24:J24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43"/>
  <sheetViews>
    <sheetView workbookViewId="0">
      <selection activeCell="A1" sqref="A1"/>
    </sheetView>
  </sheetViews>
  <sheetFormatPr baseColWidth="8" defaultRowHeight="15"/>
  <cols>
    <col width="2" customWidth="1" style="31" min="1" max="1"/>
    <col width="35" customWidth="1" style="31" min="2" max="2"/>
    <col width="40" customWidth="1" style="31" min="3" max="3"/>
    <col width="40" customWidth="1" style="31" min="4" max="4"/>
    <col width="40" customWidth="1" style="31" min="5" max="5"/>
    <col width="40" customWidth="1" style="31" min="6" max="6"/>
  </cols>
  <sheetData>
    <row r="2">
      <c r="B2" s="32" t="inlineStr">
        <is>
          <t>MERGER MODEL - INSTRUCTIONS &amp; GUIDE</t>
        </is>
      </c>
    </row>
    <row r="4">
      <c r="B4" s="34" t="inlineStr">
        <is>
          <t>COLOR CODING SYSTEM</t>
        </is>
      </c>
    </row>
    <row r="5">
      <c r="B5" s="101" t="inlineStr">
        <is>
          <t>Blue Text + Yellow Fill</t>
        </is>
      </c>
      <c r="C5" t="inlineStr">
        <is>
          <t>INPUT CELLS - Enter your data here</t>
        </is>
      </c>
    </row>
    <row r="6">
      <c r="B6" s="95" t="inlineStr">
        <is>
          <t>Black Text</t>
        </is>
      </c>
      <c r="C6" t="inlineStr">
        <is>
          <t>FORMULAS - Automatically calculated</t>
        </is>
      </c>
    </row>
    <row r="7">
      <c r="B7" s="35" t="inlineStr">
        <is>
          <t>Green Text</t>
        </is>
      </c>
      <c r="C7" t="inlineStr">
        <is>
          <t>LINKS - References to other sheets</t>
        </is>
      </c>
    </row>
    <row r="10">
      <c r="B10" s="34" t="inlineStr">
        <is>
          <t>HOW TO USE THIS MODEL</t>
        </is>
      </c>
    </row>
    <row r="11">
      <c r="B11" s="39" t="inlineStr">
        <is>
          <t>Step 1: Transaction Assumptions</t>
        </is>
      </c>
      <c r="C11" t="inlineStr">
        <is>
          <t>Enter deal terms, company info, and transaction assumptions</t>
        </is>
      </c>
    </row>
    <row r="12">
      <c r="B12" s="39" t="inlineStr">
        <is>
          <t>Step 2: Sources &amp; Uses</t>
        </is>
      </c>
      <c r="C12" t="inlineStr">
        <is>
          <t>Adjust financing structure (debt, cash, stock)</t>
        </is>
      </c>
    </row>
    <row r="13">
      <c r="B13" s="39" t="inlineStr">
        <is>
          <t>Step 3: Purchase Price Allocation</t>
        </is>
      </c>
      <c r="C13" t="inlineStr">
        <is>
          <t>Enter target book values and fair value adjustments</t>
        </is>
      </c>
    </row>
    <row r="14">
      <c r="B14" s="39" t="inlineStr">
        <is>
          <t>Step 4: Pro Forma Income Statement</t>
        </is>
      </c>
      <c r="C14" t="inlineStr">
        <is>
          <t>Review combined P&amp;L (auto-calculated)</t>
        </is>
      </c>
    </row>
    <row r="15">
      <c r="B15" s="39" t="inlineStr">
        <is>
          <t>Step 5: Synergies</t>
        </is>
      </c>
      <c r="C15" t="inlineStr">
        <is>
          <t>Input cost and revenue synergy estimates</t>
        </is>
      </c>
    </row>
    <row r="16">
      <c r="B16" s="39" t="inlineStr">
        <is>
          <t>Step 6: Accretion/Dilution</t>
        </is>
      </c>
      <c r="C16" t="inlineStr">
        <is>
          <t>Review EPS impact (auto-calculated)</t>
        </is>
      </c>
    </row>
    <row r="17">
      <c r="B17" s="39" t="inlineStr">
        <is>
          <t>Step 7: Sensitivity Analysis</t>
        </is>
      </c>
      <c r="C17" t="inlineStr">
        <is>
          <t>Test different scenarios</t>
        </is>
      </c>
    </row>
    <row r="18">
      <c r="B18" s="39" t="inlineStr">
        <is>
          <t>Step 8: Executive Summary</t>
        </is>
      </c>
      <c r="C18" t="inlineStr">
        <is>
          <t>Review dashboard (all links)</t>
        </is>
      </c>
    </row>
    <row r="21">
      <c r="B21" s="34" t="inlineStr">
        <is>
          <t>KEY FEATURES</t>
        </is>
      </c>
    </row>
    <row r="22">
      <c r="B22" t="inlineStr">
        <is>
          <t>âœ“ Comprehensive Purchase Price Allocation with goodwill calculation</t>
        </is>
      </c>
    </row>
    <row r="23">
      <c r="B23" t="inlineStr">
        <is>
          <t>âœ“ Pro forma financial statements with full integration</t>
        </is>
      </c>
    </row>
    <row r="24">
      <c r="B24" t="inlineStr">
        <is>
          <t>âœ“ Detailed synergies modeling (cost + revenue)</t>
        </is>
      </c>
    </row>
    <row r="25">
      <c r="B25" t="inlineStr">
        <is>
          <t>âœ“ Accretion/dilution analysis with breakeven pricing</t>
        </is>
      </c>
    </row>
    <row r="26">
      <c r="B26" t="inlineStr">
        <is>
          <t>âœ“ Multiple sensitivity tables</t>
        </is>
      </c>
    </row>
    <row r="27">
      <c r="B27" t="inlineStr">
        <is>
          <t>âœ“ Contribution analysis (who brings what %)</t>
        </is>
      </c>
    </row>
    <row r="28">
      <c r="B28" t="inlineStr">
        <is>
          <t>âœ“ Integration cost tracking</t>
        </is>
      </c>
    </row>
    <row r="29">
      <c r="B29" t="inlineStr">
        <is>
          <t>âœ“ Links to DCF and LBO models for cross-validation</t>
        </is>
      </c>
    </row>
    <row r="32">
      <c r="B32" s="34" t="inlineStr">
        <is>
          <t>INTEGRATION WITH OTHER MODELS</t>
        </is>
      </c>
    </row>
    <row r="33">
      <c r="B33" s="39" t="inlineStr">
        <is>
          <t>DCF Model Integration:</t>
        </is>
      </c>
      <c r="C33" t="inlineStr">
        <is>
          <t>â€¢ Validate purchase price against intrinsic value</t>
        </is>
      </c>
    </row>
    <row r="34">
      <c r="C34" t="inlineStr">
        <is>
          <t>â€¢ Compare transaction multiples to DCF valuation</t>
        </is>
      </c>
    </row>
    <row r="35">
      <c r="C35" t="inlineStr">
        <is>
          <t>â€¢ Use DCF projections for pro forma forecasts</t>
        </is>
      </c>
    </row>
    <row r="36"/>
    <row r="37">
      <c r="B37" s="39" t="inlineStr">
        <is>
          <t>LBO Model Integration:</t>
        </is>
      </c>
      <c r="C37" t="inlineStr">
        <is>
          <t>â€¢ For sponsor-backed acquisitions</t>
        </is>
      </c>
    </row>
    <row r="38">
      <c r="C38" t="inlineStr">
        <is>
          <t>â€¢ LBO financing can flow into Sources &amp; Uses</t>
        </is>
      </c>
    </row>
    <row r="39">
      <c r="C39" t="inlineStr">
        <is>
          <t>â€¢ Compare accretion/dilution to IRR targets</t>
        </is>
      </c>
    </row>
    <row r="40"/>
    <row r="41">
      <c r="B41" s="39" t="inlineStr">
        <is>
          <t>DD Tracker Integration:</t>
        </is>
      </c>
      <c r="C41" t="inlineStr">
        <is>
          <t>â€¢ DD findings inform valuation adjustments</t>
        </is>
      </c>
    </row>
    <row r="42">
      <c r="C42" t="inlineStr">
        <is>
          <t>â€¢ Risk assessment impacts discount rates</t>
        </is>
      </c>
    </row>
    <row r="43">
      <c r="C43" t="inlineStr">
        <is>
          <t>â€¢ Integration costs from DD inform synergy model</t>
        </is>
      </c>
    </row>
  </sheetData>
  <mergeCells count="32">
    <mergeCell ref="B4:F4"/>
    <mergeCell ref="C17:F17"/>
    <mergeCell ref="C39:F39"/>
    <mergeCell ref="B25:F25"/>
    <mergeCell ref="C38:F38"/>
    <mergeCell ref="B22:F22"/>
    <mergeCell ref="C37:F37"/>
    <mergeCell ref="B27:F27"/>
    <mergeCell ref="C13:F13"/>
    <mergeCell ref="B21:F21"/>
    <mergeCell ref="C18:F18"/>
    <mergeCell ref="B2:F2"/>
    <mergeCell ref="C34:F34"/>
    <mergeCell ref="C15:F15"/>
    <mergeCell ref="B23:F23"/>
    <mergeCell ref="C33:F33"/>
    <mergeCell ref="C42:F42"/>
    <mergeCell ref="C14:F14"/>
    <mergeCell ref="B29:F29"/>
    <mergeCell ref="C35:F35"/>
    <mergeCell ref="B10:F10"/>
    <mergeCell ref="B28:F28"/>
    <mergeCell ref="C16:F16"/>
    <mergeCell ref="C41:F41"/>
    <mergeCell ref="C40:F40"/>
    <mergeCell ref="B24:F24"/>
    <mergeCell ref="C43:F43"/>
    <mergeCell ref="C12:F12"/>
    <mergeCell ref="C11:F11"/>
    <mergeCell ref="B32:F32"/>
    <mergeCell ref="B26:F26"/>
    <mergeCell ref="C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2025-10-29T10:09:58Z</dcterms:created>
  <dcterms:modified xmlns:dcterms="http://purl.org/dc/terms/" xmlns:xsi="http://www.w3.org/2001/XMLSchema-instance" xsi:type="dcterms:W3CDTF">2025-10-30T14:06:41Z</dcterms:modified>
  <cp:revision>0</cp:revision>
</cp:coreProperties>
</file>