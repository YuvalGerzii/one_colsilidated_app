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CF" sheetId="2" state="visible" r:id="rId4"/>
    <sheet name="WACC" sheetId="3" state="visible" r:id="rId5"/>
  </sheets>
  <definedNames>
    <definedName function="false" hidden="false" name="WACC" vbProcedure="false">WACC!$F$35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<sst xmlns="http://schemas.openxmlformats.org/spreadsheetml/2006/main" count="93" uniqueCount="87">
  <si>
    <t xml:space="preserve">Executive Summary &amp; Valuation Dashboard</t>
  </si>
  <si>
    <t xml:space="preserve">VALUATION SUMMARY:</t>
  </si>
  <si>
    <t xml:space="preserve">DCF Implied Price:</t>
  </si>
  <si>
    <t xml:space="preserve">Current Price:</t>
  </si>
  <si>
    <t xml:space="preserve">Upside/(Downside):</t>
  </si>
  <si>
    <t xml:space="preserve">Company DCF Analysis</t>
  </si>
  <si>
    <t xml:space="preserve">($ in Millions Except Per Share Data)</t>
  </si>
  <si>
    <t xml:space="preserve">DCF ASSUMPTIONS &amp; INPUTS:</t>
  </si>
  <si>
    <t xml:space="preserve">Company Name:</t>
  </si>
  <si>
    <t xml:space="preserve">[Enter Company Name]</t>
  </si>
  <si>
    <t xml:space="preserve">TERMINAL VALUE ASSUMPTIONS:</t>
  </si>
  <si>
    <t xml:space="preserve">Ticker:</t>
  </si>
  <si>
    <t xml:space="preserve">[Ticker]</t>
  </si>
  <si>
    <t xml:space="preserve">Current Share Price:</t>
  </si>
  <si>
    <t xml:space="preserve">Terminal Growth Rate:</t>
  </si>
  <si>
    <t xml:space="preserve">Or Terminal EBITDA Multiple:</t>
  </si>
  <si>
    <t xml:space="preserve">Discount Rate (WACC):</t>
  </si>
  <si>
    <t xml:space="preserve">Method (Growth/Multiple):</t>
  </si>
  <si>
    <t xml:space="preserve">Growth</t>
  </si>
  <si>
    <t xml:space="preserve">Effective Tax Rate:</t>
  </si>
  <si>
    <t xml:space="preserve">Projection Years:</t>
  </si>
  <si>
    <t xml:space="preserve">BRIDGE TO EQUITY VALUE:</t>
  </si>
  <si>
    <t xml:space="preserve">VALUATION OUTPUT:</t>
  </si>
  <si>
    <t xml:space="preserve">Current Equity Value:</t>
  </si>
  <si>
    <t xml:space="preserve">Enterprise Value (DCF):</t>
  </si>
  <si>
    <t xml:space="preserve">(+) Cash &amp; Equivalents:</t>
  </si>
  <si>
    <t xml:space="preserve">(-) Debt:</t>
  </si>
  <si>
    <t xml:space="preserve">(-) Preferred Stock:</t>
  </si>
  <si>
    <t xml:space="preserve">(-) Minority Interest:</t>
  </si>
  <si>
    <t xml:space="preserve">Current Enterprise Value:</t>
  </si>
  <si>
    <t xml:space="preserve">Implied Equity Value:</t>
  </si>
  <si>
    <t xml:space="preserve">Diluted Shares Outstanding:</t>
  </si>
  <si>
    <t xml:space="preserve">Implied Price per Share:</t>
  </si>
  <si>
    <t xml:space="preserve">Premium / (Discount):</t>
  </si>
  <si>
    <t xml:space="preserve">FREE CASH FLOW PROJECTIONS:</t>
  </si>
  <si>
    <t xml:space="preserve">Line Item</t>
  </si>
  <si>
    <t xml:space="preserve">Historical</t>
  </si>
  <si>
    <t xml:space="preserve">Base 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</si>
  <si>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</si>
  <si>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</si>
  <si>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</si>
  <si>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</si>
  <si>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</si>
  <si>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</si>
  <si>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REVENUE</t>
  </si>
  <si>
    <t xml:space="preserve">Revenue</t>
  </si>
  <si>
    <t xml:space="preserve">  Growth Rate</t>
  </si>
  <si>
    <t xml:space="preserve">-</t>
  </si>
  <si>
    <t xml:space="preserve">EBITDA</t>
  </si>
  <si>
    <t xml:space="preserve">  EBITDA Margin</t>
  </si>
  <si>
    <t xml:space="preserve">Less: D&amp;A</t>
  </si>
  <si>
    <t xml:space="preserve">  D&amp;A % of Revenue</t>
  </si>
  <si>
    <t xml:space="preserve">EBIT</t>
  </si>
  <si>
    <t xml:space="preserve">Diluted Shares Outstanding (M):</t>
  </si>
  <si>
    <t xml:space="preserve">Less: Taxes</t>
  </si>
  <si>
    <t xml:space="preserve">NOPAT (EBIAT)</t>
  </si>
  <si>
    <t xml:space="preserve">Add: D&amp;A</t>
  </si>
  <si>
    <t xml:space="preserve">Less: CapEx</t>
  </si>
  <si>
    <t xml:space="preserve">  CapEx % of Revenue</t>
  </si>
  <si>
    <t xml:space="preserve">Less: Chg in NWC</t>
  </si>
  <si>
    <t xml:space="preserve">  NWC % of Revenue</t>
  </si>
  <si>
    <t xml:space="preserve">UNLEVERED FREE CASH FLOW</t>
  </si>
  <si>
    <t xml:space="preserve">Discount Period</t>
  </si>
  <si>
    <t xml:space="preserve">Discount Factor</t>
  </si>
  <si>
    <t xml:space="preserve">PV of Unlevered FCF</t>
  </si>
  <si>
    <t xml:space="preserve">Terminal Value</t>
  </si>
  <si>
    <t xml:space="preserve">PV of Terminal Value</t>
  </si>
  <si>
    <t xml:space="preserve">Weighted Average Cost of Capital (WACC) Calculation</t>
  </si>
  <si>
    <t xml:space="preserve">COST OF EQUITY INPUTS:</t>
  </si>
  <si>
    <t xml:space="preserve">Risk-Free Rate:</t>
  </si>
  <si>
    <t xml:space="preserve">Equity Risk Premium:</t>
  </si>
  <si>
    <t xml:space="preserve">Beta (Levered):</t>
  </si>
  <si>
    <t xml:space="preserve">Cost of Equity:</t>
  </si>
  <si>
    <t xml:space="preserve">COST OF DEBT INPUTS:</t>
  </si>
  <si>
    <t xml:space="preserve">Pre-Tax Cost of Debt:</t>
  </si>
  <si>
    <t xml:space="preserve">Tax Rate:</t>
  </si>
  <si>
    <t xml:space="preserve">After-Tax Cost of Debt:</t>
  </si>
  <si>
    <t xml:space="preserve">CAPITAL STRUCTURE:</t>
  </si>
  <si>
    <t xml:space="preserve">Market Value of Equity:</t>
  </si>
  <si>
    <t xml:space="preserve">Market Value of Debt:</t>
  </si>
  <si>
    <t xml:space="preserve">Total Capital:</t>
  </si>
  <si>
    <t xml:space="preserve">% Equity:</t>
  </si>
  <si>
    <t xml:space="preserve">% Debt:</t>
  </si>
  <si>
    <t xml:space="preserve">WACC CALCULATION:</t>
  </si>
  <si>
    <t xml:space="preserve">Weighted Cost of Equity:</t>
  </si>
  <si>
    <t xml:space="preserve">Weighted Cost of Debt:</t>
  </si>
  <si>
    <t xml:space="preserve">WACC: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</si>
</sst>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"/>
    <numFmt numFmtId="167" formatCode="0.0\x"/>
    <numFmt numFmtId="168" formatCode="0.00%"/>
    <numFmt numFmtId="169" formatCode="\$#,##0;&quot;($&quot;#,##0\);\-"/>
    <numFmt numFmtId="170" formatCode="#,##0"/>
    <numFmt numFmtId="171" formatCode="0.0000"/>
    <numFmt numFmtId="172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sz val="10"/>
      <color rgb="FF008000"/>
      <name val="Cambria"/>
      <family val="0"/>
      <charset val="1"/>
    </font>
    <font>
      <sz val="10"/>
      <color rgb="FF000000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2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25"/>
    <col collapsed="false" customWidth="true" hidden="false" outlineLevel="0" max="4" min="4" style="1" width="18"/>
  </cols>
  <sheetData>
    <row r="2" customFormat="false" ht="17.25" hidden="false" customHeight="true" outlineLevel="0" collapsed="false">
      <c r="B2" s="2" t="s">
        <v>0</v>
      </c>
    </row>
    <row r="5" customFormat="false" ht="15" hidden="false" customHeight="true" outlineLevel="0" collapsed="false">
      <c r="B5" s="3" t="s">
        <v>1</v>
      </c>
    </row>
    <row r="7" customFormat="false" ht="15" hidden="false" customHeight="true" outlineLevel="0" collapsed="false">
      <c r="C7" s="1" t="s">
        <v>2</v>
      </c>
      <c r="D7" s="4" t="n">
        <f aca="false">DCF!H28</f>
        <v>0</v>
      </c>
    </row>
    <row r="8" customFormat="false" ht="15" hidden="false" customHeight="true" outlineLevel="0" collapsed="false">
      <c r="C8" s="1" t="s">
        <v>3</v>
      </c>
      <c r="D8" s="4" t="n">
        <f aca="false">DCF!D10</f>
        <v>0</v>
      </c>
    </row>
    <row r="9" customFormat="false" ht="15" hidden="false" customHeight="true" outlineLevel="0" collapsed="false">
      <c r="C9" s="1" t="s">
        <v>4</v>
      </c>
      <c r="D9" s="5" t="n">
        <f aca="false">IFERROR(D7/D8-1,0)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"/>
    <col collapsed="false" customWidth="true" hidden="false" outlineLevel="0" max="10" min="3" style="1" width="12"/>
  </cols>
  <sheetData>
    <row r="2" customFormat="false" ht="17.25" hidden="false" customHeight="true" outlineLevel="0" collapsed="false">
      <c r="B2" s="2" t="s">
        <v>5</v>
      </c>
    </row>
    <row r="3" customFormat="false" ht="15" hidden="false" customHeight="true" outlineLevel="0" collapsed="false">
      <c r="B3" s="6" t="s">
        <v>6</v>
      </c>
    </row>
    <row r="6" customFormat="false" ht="15" hidden="false" customHeight="true" outlineLevel="0" collapsed="false">
      <c r="B6" s="7" t="s">
        <v>7</v>
      </c>
    </row>
    <row r="8" customFormat="false" ht="15" hidden="false" customHeight="true" outlineLevel="0" collapsed="false">
      <c r="C8" s="1" t="s">
        <v>8</v>
      </c>
      <c r="D8" s="8" t="s">
        <v>9</v>
      </c>
      <c r="F8" s="7" t="s">
        <v>10</v>
      </c>
    </row>
    <row r="9" customFormat="false" ht="15" hidden="false" customHeight="true" outlineLevel="0" collapsed="false">
      <c r="C9" s="1" t="s">
        <v>11</v>
      </c>
      <c r="D9" s="8" t="s">
        <v>12</v>
      </c>
    </row>
    <row r="10" customFormat="false" ht="15" hidden="false" customHeight="true" outlineLevel="0" collapsed="false">
      <c r="C10" s="1" t="s">
        <v>13</v>
      </c>
      <c r="D10" s="9" t="n">
        <v>0</v>
      </c>
      <c r="F10" s="1" t="s">
        <v>14</v>
      </c>
      <c r="H10" s="10" t="n">
        <v>0.025</v>
      </c>
    </row>
    <row r="11" customFormat="false" ht="15" hidden="false" customHeight="true" outlineLevel="0" collapsed="false">
      <c r="F11" s="1" t="s">
        <v>15</v>
      </c>
      <c r="H11" s="11" t="n">
        <v>10</v>
      </c>
    </row>
    <row r="12" customFormat="false" ht="15" hidden="false" customHeight="true" outlineLevel="0" collapsed="false">
      <c r="C12" s="1" t="s">
        <v>16</v>
      </c>
      <c r="D12" s="12" t="n">
        <f aca="false">WACC!F18</f>
        <v>0.03</v>
      </c>
      <c r="F12" s="1" t="s">
        <v>17</v>
      </c>
      <c r="H12" s="8" t="s">
        <v>18</v>
      </c>
    </row>
    <row r="13" customFormat="false" ht="15" hidden="false" customHeight="true" outlineLevel="0" collapsed="false">
      <c r="C13" s="1" t="s">
        <v>19</v>
      </c>
      <c r="D13" s="13" t="n">
        <v>0.25</v>
      </c>
    </row>
    <row r="14" customFormat="false" ht="15" hidden="false" customHeight="true" outlineLevel="0" collapsed="false">
      <c r="C14" s="1" t="s">
        <v>20</v>
      </c>
      <c r="D14" s="8" t="n">
        <v>5</v>
      </c>
    </row>
    <row r="16" customFormat="false" ht="15" hidden="false" customHeight="true" outlineLevel="0" collapsed="false">
      <c r="B16" s="7" t="s">
        <v>21</v>
      </c>
      <c r="F16" s="7" t="s">
        <v>22</v>
      </c>
    </row>
    <row r="18" customFormat="false" ht="15" hidden="false" customHeight="true" outlineLevel="0" collapsed="false">
      <c r="C18" s="1" t="s">
        <v>23</v>
      </c>
      <c r="D18" s="14" t="n">
        <f aca="false">D10*D48</f>
        <v>0</v>
      </c>
      <c r="F18" s="1" t="s">
        <v>24</v>
      </c>
      <c r="H18" s="15" t="n">
        <f aca="false">SUM(H66:M66)+H68</f>
        <v>0</v>
      </c>
    </row>
    <row r="19" customFormat="false" ht="15" hidden="false" customHeight="true" outlineLevel="0" collapsed="false">
      <c r="C19" s="1" t="s">
        <v>25</v>
      </c>
      <c r="D19" s="14" t="n">
        <v>0</v>
      </c>
      <c r="F19" s="1" t="s">
        <v>25</v>
      </c>
      <c r="H19" s="16" t="n">
        <f aca="false">D19</f>
        <v>0</v>
      </c>
    </row>
    <row r="20" customFormat="false" ht="15" hidden="false" customHeight="true" outlineLevel="0" collapsed="false">
      <c r="C20" s="1" t="s">
        <v>26</v>
      </c>
      <c r="D20" s="14" t="n">
        <v>0</v>
      </c>
      <c r="F20" s="1" t="s">
        <v>26</v>
      </c>
      <c r="H20" s="16" t="n">
        <f aca="false">D20</f>
        <v>0</v>
      </c>
    </row>
    <row r="21" customFormat="false" ht="15" hidden="false" customHeight="true" outlineLevel="0" collapsed="false">
      <c r="C21" s="1" t="s">
        <v>27</v>
      </c>
      <c r="D21" s="14" t="n">
        <v>0</v>
      </c>
      <c r="F21" s="1" t="s">
        <v>27</v>
      </c>
      <c r="H21" s="16" t="n">
        <f aca="false">D21</f>
        <v>0</v>
      </c>
    </row>
    <row r="22" customFormat="false" ht="15" hidden="false" customHeight="true" outlineLevel="0" collapsed="false">
      <c r="C22" s="1" t="s">
        <v>28</v>
      </c>
      <c r="D22" s="14" t="n">
        <v>0</v>
      </c>
      <c r="F22" s="1" t="s">
        <v>28</v>
      </c>
      <c r="H22" s="16" t="n">
        <f aca="false">D22</f>
        <v>0</v>
      </c>
    </row>
    <row r="24" customFormat="false" ht="15" hidden="false" customHeight="true" outlineLevel="0" collapsed="false">
      <c r="C24" s="1" t="s">
        <v>29</v>
      </c>
      <c r="D24" s="15" t="n">
        <f aca="false">D18-D19+D20+D21+D22</f>
        <v>0</v>
      </c>
      <c r="F24" s="1" t="s">
        <v>30</v>
      </c>
      <c r="H24" s="15" t="n">
        <f aca="false">H18+H19-H20-H21-H22</f>
        <v>0</v>
      </c>
    </row>
    <row r="25" customFormat="false" ht="15" hidden="false" customHeight="true" outlineLevel="0" collapsed="false">
      <c r="F25" s="1" t="s">
        <v>31</v>
      </c>
    </row>
    <row r="26" customFormat="false" ht="15" hidden="false" customHeight="true" outlineLevel="0" collapsed="false">
      <c r="F26" s="1" t="s">
        <v>32</v>
      </c>
      <c r="H26" s="16" t="n">
        <f aca="false">D48</f>
        <v>0</v>
      </c>
    </row>
    <row r="27" customFormat="false" ht="15" hidden="false" customHeight="true" outlineLevel="0" collapsed="false">
      <c r="F27" s="1" t="s">
        <v>33</v>
      </c>
    </row>
    <row r="28" customFormat="false" ht="15" hidden="false" customHeight="true" outlineLevel="0" collapsed="false">
      <c r="H28" s="15" t="n">
        <f aca="false">IFERROR(H24/H26,0)</f>
        <v>0</v>
      </c>
    </row>
    <row r="29" customFormat="false" ht="15" hidden="false" customHeight="true" outlineLevel="0" collapsed="false">
      <c r="H29" s="15" t="n">
        <f aca="false">IFERROR(H28/D10-1,0)</f>
        <v>0</v>
      </c>
    </row>
    <row r="32" customFormat="false" ht="15" hidden="false" customHeight="true" outlineLevel="0" collapsed="false">
      <c r="B32" s="7" t="s">
        <v>34</v>
      </c>
    </row>
    <row r="34" customFormat="false" ht="15" hidden="false" customHeight="true" outlineLevel="0" collapsed="false">
      <c r="B34" s="17" t="s">
        <v>35</v>
      </c>
      <c r="C34" s="17" t="s">
        <v>36</v>
      </c>
      <c r="D34" s="17" t="s">
        <v>37</v>
      </c>
      <c r="E34" s="18" t="s">
        <v>38</v>
      </c>
      <c r="F34" s="18" t="s">
        <v>39</v>
      </c>
      <c r="G34" s="18" t="s">
        <v>40</v>
      </c>
      <c r="H34" s="18" t="s">
        <v>41</v>
      </c>
      <c r="I34" s="18" t="s">
        <v>42</v>
      </c>
      <c r="J34" s="17" t="s">
        <v>43</v>
      </c>
    </row>
    <row r="36" customFormat="false" ht="15" hidden="false" customHeight="true" outlineLevel="0" collapsed="false">
      <c r="B36" s="19" t="s">
        <v>44</v>
      </c>
    </row>
    <row r="37" customFormat="false" ht="15" hidden="false" customHeight="true" outlineLevel="0" collapsed="false">
      <c r="B37" s="1" t="s">
        <v>45</v>
      </c>
      <c r="C37" s="14" t="n">
        <v>0</v>
      </c>
      <c r="D37" s="14" t="n">
        <v>0</v>
      </c>
      <c r="E37" s="15" t="n">
        <f aca="false">IF(E38=0, D37, D37*(1+E38))</f>
        <v>0</v>
      </c>
      <c r="F37" s="15" t="n">
        <f aca="false">IF(E38=0, D37, D37*(1+F38))</f>
        <v>0</v>
      </c>
      <c r="G37" s="15" t="n">
        <f aca="false">IF(E38=0, D37, D37*(1+G38))</f>
        <v>0</v>
      </c>
      <c r="H37" s="15" t="n">
        <f aca="false">IF(E38=0, D37, D37*(1+H38))</f>
        <v>0</v>
      </c>
      <c r="I37" s="15" t="n">
        <f aca="false">IF(E38=0, D37, D37*(1+I38))</f>
        <v>0</v>
      </c>
      <c r="J37" s="15" t="n">
        <f aca="false">IFERROR(I37*(1+IF(H12="Growth",H10,0)),0)</f>
        <v>0</v>
      </c>
    </row>
    <row r="38" customFormat="false" ht="15" hidden="false" customHeight="true" outlineLevel="0" collapsed="false">
      <c r="B38" s="1" t="s">
        <v>46</v>
      </c>
      <c r="C38" s="1" t="s">
        <v>47</v>
      </c>
      <c r="E38" s="10" t="n">
        <v>0.05</v>
      </c>
      <c r="F38" s="10" t="n">
        <v>0.05</v>
      </c>
      <c r="G38" s="10" t="n">
        <v>0.05</v>
      </c>
      <c r="H38" s="10" t="n">
        <v>0.05</v>
      </c>
      <c r="I38" s="10" t="n">
        <v>0.05</v>
      </c>
    </row>
    <row r="40" customFormat="false" ht="15" hidden="false" customHeight="true" outlineLevel="0" collapsed="false">
      <c r="B40" s="19" t="s">
        <v>48</v>
      </c>
    </row>
    <row r="41" customFormat="false" ht="15" hidden="false" customHeight="true" outlineLevel="0" collapsed="false">
      <c r="B41" s="1" t="s">
        <v>48</v>
      </c>
      <c r="C41" s="14" t="n">
        <v>0</v>
      </c>
      <c r="D41" s="14" t="n">
        <v>0</v>
      </c>
      <c r="E41" s="15" t="n">
        <f aca="false">E37*E42</f>
        <v>0</v>
      </c>
      <c r="F41" s="15" t="n">
        <f aca="false">F37*F42</f>
        <v>0</v>
      </c>
      <c r="G41" s="15" t="n">
        <f aca="false">G37*G42</f>
        <v>0</v>
      </c>
      <c r="H41" s="15" t="n">
        <f aca="false">H37*H42</f>
        <v>0</v>
      </c>
      <c r="I41" s="15" t="n">
        <f aca="false">I37*I42</f>
        <v>0</v>
      </c>
      <c r="J41" s="15" t="n">
        <f aca="false">IFERROR(J37*J42,0)</f>
        <v>0</v>
      </c>
    </row>
    <row r="42" customFormat="false" ht="15" hidden="false" customHeight="true" outlineLevel="0" collapsed="false">
      <c r="B42" s="1" t="s">
        <v>49</v>
      </c>
      <c r="C42" s="1" t="s">
        <v>47</v>
      </c>
      <c r="E42" s="10" t="n">
        <v>0.2</v>
      </c>
      <c r="F42" s="10" t="n">
        <v>0.2</v>
      </c>
      <c r="G42" s="10" t="n">
        <v>0.2</v>
      </c>
      <c r="H42" s="10" t="n">
        <v>0.2</v>
      </c>
      <c r="I42" s="10" t="n">
        <v>0.2</v>
      </c>
      <c r="J42" s="5" t="n">
        <f aca="false">IFERROR(J41/J37,0)</f>
        <v>0</v>
      </c>
    </row>
    <row r="44" customFormat="false" ht="15" hidden="false" customHeight="true" outlineLevel="0" collapsed="false">
      <c r="B44" s="1" t="s">
        <v>50</v>
      </c>
      <c r="E44" s="15" t="n">
        <f aca="false">E37*E45</f>
        <v>0</v>
      </c>
      <c r="F44" s="15" t="n">
        <f aca="false">F37*F45</f>
        <v>0</v>
      </c>
      <c r="G44" s="15" t="n">
        <f aca="false">G37*G45</f>
        <v>0</v>
      </c>
      <c r="H44" s="15" t="n">
        <f aca="false">H37*H45</f>
        <v>0</v>
      </c>
      <c r="I44" s="15" t="n">
        <f aca="false">I37*I45</f>
        <v>0</v>
      </c>
      <c r="J44" s="15" t="n">
        <f aca="false">IFERROR(J37*J45,0)</f>
        <v>0</v>
      </c>
    </row>
    <row r="45" customFormat="false" ht="15" hidden="false" customHeight="true" outlineLevel="0" collapsed="false">
      <c r="B45" s="1" t="s">
        <v>51</v>
      </c>
      <c r="E45" s="10" t="n">
        <v>0.03</v>
      </c>
      <c r="F45" s="10" t="n">
        <v>0.03</v>
      </c>
      <c r="G45" s="10" t="n">
        <v>0.03</v>
      </c>
      <c r="H45" s="10" t="n">
        <v>0.03</v>
      </c>
      <c r="I45" s="10" t="n">
        <v>0.03</v>
      </c>
      <c r="J45" s="5" t="n">
        <f aca="false">IFERROR(J44/J37,0)</f>
        <v>0</v>
      </c>
    </row>
    <row r="47" customFormat="false" ht="15" hidden="false" customHeight="true" outlineLevel="0" collapsed="false">
      <c r="B47" s="19" t="s">
        <v>52</v>
      </c>
      <c r="E47" s="15" t="n">
        <f aca="false">E41-E44</f>
        <v>0</v>
      </c>
      <c r="F47" s="15" t="n">
        <f aca="false">F41-F44</f>
        <v>0</v>
      </c>
      <c r="G47" s="15" t="n">
        <f aca="false">G41-G44</f>
        <v>0</v>
      </c>
      <c r="H47" s="15" t="n">
        <f aca="false">H41-H44</f>
        <v>0</v>
      </c>
      <c r="I47" s="15" t="n">
        <f aca="false">I41-I44</f>
        <v>0</v>
      </c>
      <c r="J47" s="15" t="n">
        <f aca="false">IFERROR(J41-J44,0)</f>
        <v>0</v>
      </c>
    </row>
    <row r="48" customFormat="false" ht="15" hidden="false" customHeight="true" outlineLevel="0" collapsed="false">
      <c r="B48" s="1" t="s">
        <v>53</v>
      </c>
      <c r="D48" s="20" t="n">
        <v>0</v>
      </c>
    </row>
    <row r="49" customFormat="false" ht="15" hidden="false" customHeight="true" outlineLevel="0" collapsed="false">
      <c r="B49" s="1" t="s">
        <v>54</v>
      </c>
      <c r="E49" s="15" t="n">
        <f aca="false">-E47*$D$13</f>
        <v>-0</v>
      </c>
      <c r="F49" s="15" t="n">
        <f aca="false">-F47*$D$13</f>
        <v>-0</v>
      </c>
      <c r="G49" s="15" t="n">
        <f aca="false">-G47*$D$13</f>
        <v>-0</v>
      </c>
      <c r="H49" s="15" t="n">
        <f aca="false">-H47*$D$13</f>
        <v>-0</v>
      </c>
      <c r="I49" s="15" t="n">
        <f aca="false">-I47*$D$13</f>
        <v>-0</v>
      </c>
      <c r="J49" s="15" t="n">
        <f aca="false">IFERROR(-J47*$D$13,0)</f>
        <v>-0</v>
      </c>
    </row>
    <row r="51" customFormat="false" ht="15" hidden="false" customHeight="true" outlineLevel="0" collapsed="false">
      <c r="B51" s="19" t="s">
        <v>55</v>
      </c>
      <c r="E51" s="15" t="n">
        <f aca="false">E47+E49</f>
        <v>0</v>
      </c>
      <c r="F51" s="15" t="n">
        <f aca="false">F47+F49</f>
        <v>0</v>
      </c>
      <c r="G51" s="15" t="n">
        <f aca="false">G47+G49</f>
        <v>0</v>
      </c>
      <c r="H51" s="15" t="n">
        <f aca="false">H47+H49</f>
        <v>0</v>
      </c>
      <c r="I51" s="15" t="n">
        <f aca="false">I47+I49</f>
        <v>0</v>
      </c>
      <c r="J51" s="15" t="n">
        <f aca="false">IFERROR(J47+J49,0)</f>
        <v>0</v>
      </c>
    </row>
    <row r="52" customFormat="false" ht="15" hidden="false" customHeight="true" outlineLevel="0" collapsed="false">
      <c r="B52" s="1" t="s">
        <v>56</v>
      </c>
      <c r="E52" s="15" t="n">
        <f aca="false">E44</f>
        <v>0</v>
      </c>
      <c r="F52" s="15" t="n">
        <f aca="false">F44</f>
        <v>0</v>
      </c>
      <c r="G52" s="15" t="n">
        <f aca="false">G44</f>
        <v>0</v>
      </c>
      <c r="H52" s="15" t="n">
        <f aca="false">H44</f>
        <v>0</v>
      </c>
      <c r="I52" s="15" t="n">
        <f aca="false">I44</f>
        <v>0</v>
      </c>
      <c r="J52" s="15" t="n">
        <f aca="false">IFERROR(J44,0)</f>
        <v>0</v>
      </c>
    </row>
    <row r="53" customFormat="false" ht="15" hidden="false" customHeight="true" outlineLevel="0" collapsed="false">
      <c r="B53" s="1" t="s">
        <v>57</v>
      </c>
      <c r="E53" s="15" t="n">
        <f aca="false">-E37*E55</f>
        <v>0</v>
      </c>
      <c r="F53" s="15" t="n">
        <f aca="false">-F37*F55</f>
        <v>0</v>
      </c>
      <c r="G53" s="15" t="n">
        <f aca="false">-G37*G55</f>
        <v>0</v>
      </c>
      <c r="H53" s="15" t="n">
        <f aca="false">-H37*H55</f>
        <v>0</v>
      </c>
      <c r="I53" s="15" t="n">
        <f aca="false">-I37*I55</f>
        <v>0</v>
      </c>
      <c r="J53" s="15" t="n">
        <f aca="false">-J37*J55</f>
        <v>-0</v>
      </c>
    </row>
    <row r="54" customFormat="false" ht="15" hidden="false" customHeight="true" outlineLevel="0" collapsed="false">
      <c r="B54" s="1" t="s">
        <v>58</v>
      </c>
      <c r="E54" s="10" t="n">
        <v>0.04</v>
      </c>
      <c r="F54" s="10" t="n">
        <v>0.04</v>
      </c>
      <c r="G54" s="10" t="n">
        <v>0.04</v>
      </c>
      <c r="H54" s="10" t="n">
        <v>0.04</v>
      </c>
      <c r="I54" s="10" t="n">
        <v>0.04</v>
      </c>
      <c r="J54" s="5" t="n">
        <f aca="false">IFERROR(-J37*J55,0)</f>
        <v>-0</v>
      </c>
    </row>
    <row r="55" customFormat="false" ht="15" hidden="false" customHeight="true" outlineLevel="0" collapsed="false">
      <c r="B55" s="1" t="s">
        <v>59</v>
      </c>
      <c r="E55" s="15" t="n">
        <f aca="false">-(E37-D37)*E58</f>
        <v>-0</v>
      </c>
      <c r="F55" s="15" t="n">
        <f aca="false">-(F37-E37)*F58</f>
        <v>-0</v>
      </c>
      <c r="G55" s="15" t="n">
        <f aca="false">-(G37-F37)*G58</f>
        <v>-0</v>
      </c>
      <c r="H55" s="15" t="n">
        <f aca="false">-(H37-G37)*H58</f>
        <v>-0</v>
      </c>
      <c r="I55" s="15" t="n">
        <f aca="false">-(I37-H37)*I58</f>
        <v>-0</v>
      </c>
      <c r="J55" s="15" t="n">
        <f aca="false">IFERROR(J54/J37,0)</f>
        <v>0</v>
      </c>
    </row>
    <row r="56" customFormat="false" ht="15" hidden="false" customHeight="true" outlineLevel="0" collapsed="false">
      <c r="B56" s="1" t="s">
        <v>60</v>
      </c>
      <c r="E56" s="10" t="n">
        <v>0.1</v>
      </c>
      <c r="F56" s="10" t="n">
        <v>0.1</v>
      </c>
      <c r="G56" s="10" t="n">
        <v>0.1</v>
      </c>
      <c r="H56" s="10" t="n">
        <v>0.1</v>
      </c>
      <c r="I56" s="10" t="n">
        <v>0.1</v>
      </c>
      <c r="J56" s="5" t="n">
        <f aca="false">IFERROR(-(J37-I37)*J58,0)</f>
        <v>-0</v>
      </c>
    </row>
    <row r="58" customFormat="false" ht="15" hidden="false" customHeight="true" outlineLevel="0" collapsed="false">
      <c r="B58" s="21" t="s">
        <v>61</v>
      </c>
      <c r="E58" s="22" t="n">
        <f aca="false">E51+E52+E54+E56</f>
        <v>0.14</v>
      </c>
      <c r="F58" s="22" t="n">
        <f aca="false">F51+F52+F54+F56</f>
        <v>0.14</v>
      </c>
      <c r="G58" s="22" t="n">
        <f aca="false">G51+G52+G54+G56</f>
        <v>0.14</v>
      </c>
      <c r="H58" s="22" t="n">
        <f aca="false">H51+H52+H54+H56</f>
        <v>0.14</v>
      </c>
      <c r="I58" s="22" t="n">
        <f aca="false">I51+I52+I54+I56</f>
        <v>0.14</v>
      </c>
      <c r="J58" s="22" t="n">
        <f aca="false">IFERROR(I58,0)</f>
        <v>0.14</v>
      </c>
    </row>
    <row r="60" customFormat="false" ht="15" hidden="false" customHeight="true" outlineLevel="0" collapsed="false">
      <c r="B60" s="1" t="s">
        <v>62</v>
      </c>
      <c r="E60" s="23" t="n">
        <v>1</v>
      </c>
      <c r="F60" s="23" t="n">
        <v>2</v>
      </c>
      <c r="G60" s="23" t="n">
        <v>3</v>
      </c>
      <c r="H60" s="23" t="n">
        <v>4</v>
      </c>
      <c r="I60" s="23" t="n">
        <v>5</v>
      </c>
      <c r="J60" s="24" t="n">
        <f aca="false">IFERROR(J51+J52+J54+J56,0)</f>
        <v>0</v>
      </c>
    </row>
    <row r="61" customFormat="false" ht="15" hidden="false" customHeight="true" outlineLevel="0" collapsed="false">
      <c r="B61" s="1" t="s">
        <v>63</v>
      </c>
      <c r="E61" s="25" t="n">
        <f aca="false">1/(1+$D$12)^E62</f>
        <v>1</v>
      </c>
      <c r="F61" s="25" t="n">
        <f aca="false">1/(1+$D$12)^F62</f>
        <v>1</v>
      </c>
      <c r="G61" s="25" t="n">
        <f aca="false">1/(1+$D$12)^G62</f>
        <v>1</v>
      </c>
      <c r="H61" s="25" t="n">
        <f aca="false">1/(1+$D$12)^H62</f>
        <v>1</v>
      </c>
      <c r="I61" s="25" t="n">
        <f aca="false">1/(1+$D$12)^I62</f>
        <v>1</v>
      </c>
    </row>
    <row r="62" customFormat="false" ht="15" hidden="false" customHeight="true" outlineLevel="0" collapsed="false">
      <c r="B62" s="1" t="s">
        <v>64</v>
      </c>
      <c r="E62" s="15" t="n">
        <f aca="false">E60*E63</f>
        <v>0</v>
      </c>
      <c r="F62" s="15" t="n">
        <f aca="false">F60*F63</f>
        <v>0</v>
      </c>
      <c r="G62" s="15" t="n">
        <f aca="false">G60*G63</f>
        <v>0</v>
      </c>
      <c r="H62" s="15" t="n">
        <f aca="false">H60*H63</f>
        <v>0</v>
      </c>
      <c r="I62" s="15" t="n">
        <f aca="false">I60*I63</f>
        <v>0</v>
      </c>
    </row>
    <row r="64" customFormat="false" ht="15" hidden="false" customHeight="true" outlineLevel="0" collapsed="false">
      <c r="B64" s="19" t="s">
        <v>65</v>
      </c>
      <c r="H64" s="15" t="n">
        <f aca="false">IF(H12="Growth", J60/(D12-H10), J41*H11)</f>
        <v>0</v>
      </c>
    </row>
    <row r="65" customFormat="false" ht="15" hidden="false" customHeight="true" outlineLevel="0" collapsed="false">
      <c r="B65" s="1" t="s">
        <v>66</v>
      </c>
      <c r="H65" s="15" t="n">
        <f aca="false">H66/(1+$D$12)^5</f>
        <v>0</v>
      </c>
    </row>
    <row r="66" customFormat="false" ht="15" hidden="false" customHeight="true" outlineLevel="0" collapsed="false">
      <c r="H66" s="1" t="n">
        <f aca="false">IF(H12="Growth", IF(D12-H10=0,0,J60/(D12-H10)), J41*H11)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5"/>
    <col collapsed="false" customWidth="true" hidden="false" outlineLevel="0" max="6" min="6" style="1" width="15"/>
  </cols>
  <sheetData>
    <row r="2" customFormat="false" ht="17.25" hidden="false" customHeight="true" outlineLevel="0" collapsed="false">
      <c r="B2" s="2" t="s">
        <v>67</v>
      </c>
    </row>
    <row r="5" customFormat="false" ht="15" hidden="false" customHeight="true" outlineLevel="0" collapsed="false">
      <c r="B5" s="7" t="s">
        <v>68</v>
      </c>
    </row>
    <row r="7" customFormat="false" ht="15" hidden="false" customHeight="true" outlineLevel="0" collapsed="false">
      <c r="C7" s="1" t="s">
        <v>69</v>
      </c>
      <c r="F7" s="13" t="n">
        <v>0.03</v>
      </c>
    </row>
    <row r="8" customFormat="false" ht="15" hidden="false" customHeight="true" outlineLevel="0" collapsed="false">
      <c r="C8" s="1" t="s">
        <v>70</v>
      </c>
      <c r="F8" s="13" t="n">
        <v>0.05</v>
      </c>
    </row>
    <row r="9" customFormat="false" ht="15" hidden="false" customHeight="true" outlineLevel="0" collapsed="false">
      <c r="C9" s="1" t="s">
        <v>71</v>
      </c>
      <c r="F9" s="26" t="n">
        <v>1</v>
      </c>
    </row>
    <row r="11" customFormat="false" ht="15" hidden="false" customHeight="true" outlineLevel="0" collapsed="false">
      <c r="C11" s="1" t="s">
        <v>72</v>
      </c>
      <c r="F11" s="27" t="n">
        <f aca="false">F7+F9*F8</f>
        <v>0.08</v>
      </c>
    </row>
    <row r="13" customFormat="false" ht="15" hidden="false" customHeight="true" outlineLevel="0" collapsed="false">
      <c r="B13" s="7" t="s">
        <v>73</v>
      </c>
    </row>
    <row r="15" customFormat="false" ht="15" hidden="false" customHeight="true" outlineLevel="0" collapsed="false">
      <c r="C15" s="1" t="s">
        <v>74</v>
      </c>
      <c r="F15" s="13" t="n">
        <v>0.04</v>
      </c>
    </row>
    <row r="16" customFormat="false" ht="15" hidden="false" customHeight="true" outlineLevel="0" collapsed="false">
      <c r="C16" s="1" t="s">
        <v>75</v>
      </c>
      <c r="F16" s="12" t="n">
        <f aca="false">DCF!D13</f>
        <v>0.25</v>
      </c>
    </row>
    <row r="18" customFormat="false" ht="15" hidden="false" customHeight="true" outlineLevel="0" collapsed="false">
      <c r="C18" s="1" t="s">
        <v>76</v>
      </c>
      <c r="F18" s="27" t="n">
        <f aca="false">F15*(1-F16)</f>
        <v>0.03</v>
      </c>
    </row>
    <row r="20" customFormat="false" ht="15" hidden="false" customHeight="true" outlineLevel="0" collapsed="false">
      <c r="B20" s="7" t="s">
        <v>77</v>
      </c>
    </row>
    <row r="22" customFormat="false" ht="15" hidden="false" customHeight="true" outlineLevel="0" collapsed="false">
      <c r="C22" s="1" t="s">
        <v>78</v>
      </c>
      <c r="F22" s="14" t="n">
        <v>0</v>
      </c>
    </row>
    <row r="23" customFormat="false" ht="15" hidden="false" customHeight="true" outlineLevel="0" collapsed="false">
      <c r="C23" s="1" t="s">
        <v>79</v>
      </c>
      <c r="F23" s="14" t="n">
        <v>0</v>
      </c>
    </row>
    <row r="25" customFormat="false" ht="15" hidden="false" customHeight="true" outlineLevel="0" collapsed="false">
      <c r="C25" s="1" t="s">
        <v>80</v>
      </c>
      <c r="F25" s="15" t="n">
        <f aca="false">F22+F23</f>
        <v>0</v>
      </c>
    </row>
    <row r="27" customFormat="false" ht="15" hidden="false" customHeight="true" outlineLevel="0" collapsed="false">
      <c r="C27" s="1" t="s">
        <v>81</v>
      </c>
      <c r="F27" s="5" t="n">
        <f aca="false">IFERROR(F22/F25,0)</f>
        <v>0</v>
      </c>
    </row>
    <row r="28" customFormat="false" ht="15" hidden="false" customHeight="true" outlineLevel="0" collapsed="false">
      <c r="C28" s="1" t="s">
        <v>82</v>
      </c>
      <c r="F28" s="5" t="n">
        <f aca="false">IFERROR(F23/F25,0)</f>
        <v>0</v>
      </c>
    </row>
    <row r="30" customFormat="false" ht="15" hidden="false" customHeight="true" outlineLevel="0" collapsed="false">
      <c r="B30" s="28" t="s">
        <v>83</v>
      </c>
    </row>
    <row r="32" customFormat="false" ht="15" hidden="false" customHeight="true" outlineLevel="0" collapsed="false">
      <c r="C32" s="1" t="s">
        <v>84</v>
      </c>
      <c r="F32" s="27" t="n">
        <f aca="false">IFERROR(F11*F27,0)</f>
        <v>0</v>
      </c>
    </row>
    <row r="33" customFormat="false" ht="15" hidden="false" customHeight="true" outlineLevel="0" collapsed="false">
      <c r="C33" s="1" t="s">
        <v>85</v>
      </c>
      <c r="F33" s="27" t="n">
        <f aca="false">IFERROR(F18*F28,0)</f>
        <v>0</v>
      </c>
    </row>
    <row r="35" customFormat="false" ht="15" hidden="false" customHeight="true" outlineLevel="0" collapsed="false">
      <c r="C35" s="1" t="s">
        <v>86</v>
      </c>
      <c r="F35" s="29" t="n">
        <f aca="false">IFERROR(F32+F33,0)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2025-10-28T21:44:15Z</dcterms:created>
  <dc:creator>openpyxl</dc:creator>
  <dc:description/>
  <dc:language>en-US</dc:language>
  <cp:lastModifiedBy/>
  <dcterms:modified xsi:type="dcterms:W3CDTF">2025-10-28T22:00:10Z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