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Inputs" sheetId="2" state="visible" r:id="rId4"/>
    <sheet name="Deal Analysis" sheetId="3" state="visible" r:id="rId5"/>
    <sheet name="Renovation Budget" sheetId="4" state="visible" r:id="rId6"/>
    <sheet name="ProForma" sheetId="5" state="visible" r:id="rId7"/>
    <sheet name="Financing Comparison" sheetId="6" state="visible" r:id="rId8"/>
    <sheet name="Sensitivity Analysis" sheetId="7" state="visible" r:id="rId9"/>
    <sheet name="Exit Strategi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<sst xmlns="http://schemas.openxmlformats.org/spreadsheetml/2006/main" count="381" uniqueCount="335">
  <si>
    <t xml:space="preserve">HOUSE FLIPPING MODEL</t>
  </si>
  <si>
    <t xml:space="preserve">Executive Summary Dashboard</t>
  </si>
  <si>
    <t xml:space="preserve">PROPERTY INFORMATION</t>
  </si>
  <si>
    <t xml:space="preserve">KEY DEAL METRICS</t>
  </si>
  <si>
    <t xml:space="preserve">RETURN METRICS</t>
  </si>
  <si>
    <t xml:space="preserve">Property Address:</t>
  </si>
  <si>
    <t xml:space="preserve">Purchase Price:</t>
  </si>
  <si>
    <t xml:space="preserve">Gross Profit:</t>
  </si>
  <si>
    <t xml:space="preserve">Property Type:</t>
  </si>
  <si>
    <t xml:space="preserve">After Repair Value (ARV):</t>
  </si>
  <si>
    <t xml:space="preserve">ROI:</t>
  </si>
  <si>
    <t xml:space="preserve">Square Footage:</t>
  </si>
  <si>
    <t xml:space="preserve">Total Renovation Cost:</t>
  </si>
  <si>
    <t xml:space="preserve">70% Rule Check:</t>
  </si>
  <si>
    <t xml:space="preserve">Bedrooms / Baths:</t>
  </si>
  <si>
    <t xml:space="preserve">All-In Cost:</t>
  </si>
  <si>
    <t xml:space="preserve">Deal Quality:</t>
  </si>
  <si>
    <t xml:space="preserve">PROJECT TIMELINE</t>
  </si>
  <si>
    <t xml:space="preserve">Acquisition Period:</t>
  </si>
  <si>
    <t xml:space="preserve">days</t>
  </si>
  <si>
    <t xml:space="preserve">Renovation Period:</t>
  </si>
  <si>
    <t xml:space="preserve">Marketing Period:</t>
  </si>
  <si>
    <t xml:space="preserve">Total Hold Period:</t>
  </si>
  <si>
    <t xml:space="preserve">INPUTS &amp; ASSUMPTIONS</t>
  </si>
  <si>
    <t xml:space="preserve">All BLUE cells are inputs - Change these to match your deal</t>
  </si>
  <si>
    <t xml:space="preserve">Property Address</t>
  </si>
  <si>
    <t xml:space="preserve">123 Main Street, Anytown, USA</t>
  </si>
  <si>
    <t xml:space="preserve">Property Type</t>
  </si>
  <si>
    <t xml:space="preserve">Single Family Home</t>
  </si>
  <si>
    <t xml:space="preserve">Square Footage</t>
  </si>
  <si>
    <t xml:space="preserve">Bedrooms</t>
  </si>
  <si>
    <t xml:space="preserve">Bathrooms</t>
  </si>
  <si>
    <t xml:space="preserve">Year Built</t>
  </si>
  <si>
    <t xml:space="preserve">ACQUISITION COSTS</t>
  </si>
  <si>
    <t xml:space="preserve">Purchase Price</t>
  </si>
  <si>
    <t xml:space="preserve">Closing Costs (% of Purchase)</t>
  </si>
  <si>
    <t xml:space="preserve">Inspection Cost</t>
  </si>
  <si>
    <t xml:space="preserve">Due Diligence Costs</t>
  </si>
  <si>
    <t xml:space="preserve">RENOVATION BUDGET ASSUMPTIONS</t>
  </si>
  <si>
    <t xml:space="preserve">Renovation Type</t>
  </si>
  <si>
    <t xml:space="preserve">Full Renovation</t>
  </si>
  <si>
    <t xml:space="preserve">Cosmetic / Full / Gut</t>
  </si>
  <si>
    <t xml:space="preserve">Estimated Total Renovation Cost</t>
  </si>
  <si>
    <t xml:space="preserve">Contingency Reserve (% of Reno)</t>
  </si>
  <si>
    <t xml:space="preserve">AFTER REPAIR VALUE (ARV)</t>
  </si>
  <si>
    <t xml:space="preserve">Comp #1 Sale Price</t>
  </si>
  <si>
    <t xml:space="preserve">Comp #2 Sale Price</t>
  </si>
  <si>
    <t xml:space="preserve">Comp #3 Sale Price</t>
  </si>
  <si>
    <t xml:space="preserve">Average Comp Value</t>
  </si>
  <si>
    <t xml:space="preserve">Conservative Discount</t>
  </si>
  <si>
    <t xml:space="preserve">Safety margin</t>
  </si>
  <si>
    <t xml:space="preserve">Your ARV Estimate</t>
  </si>
  <si>
    <t xml:space="preserve">HOLDING COSTS</t>
  </si>
  <si>
    <t xml:space="preserve">Property Insurance (monthly)</t>
  </si>
  <si>
    <t xml:space="preserve">Property Taxes (monthly)</t>
  </si>
  <si>
    <t xml:space="preserve">Utilities (monthly)</t>
  </si>
  <si>
    <t xml:space="preserve">HOA Dues (if applicable, monthly)</t>
  </si>
  <si>
    <t xml:space="preserve">Acquisition Period (days)</t>
  </si>
  <si>
    <t xml:space="preserve">Renovation Period (days)</t>
  </si>
  <si>
    <t xml:space="preserve">Marketing &amp; Sale Period (days)</t>
  </si>
  <si>
    <t xml:space="preserve">Total Hold Period (days)</t>
  </si>
  <si>
    <t xml:space="preserve">SELLING COSTS</t>
  </si>
  <si>
    <t xml:space="preserve">Real Estate Commission (%)</t>
  </si>
  <si>
    <t xml:space="preserve">Closing Costs (% of Sale Price)</t>
  </si>
  <si>
    <t xml:space="preserve">Staging &amp; Photography</t>
  </si>
  <si>
    <t xml:space="preserve">FINANCING ASSUMPTIONS</t>
  </si>
  <si>
    <t xml:space="preserve">Hard Money Loan-to-Cost (LTC)</t>
  </si>
  <si>
    <t xml:space="preserve">Hard Money Interest Rate (Annual)</t>
  </si>
  <si>
    <t xml:space="preserve">Hard Money Points</t>
  </si>
  <si>
    <t xml:space="preserve">Upfront fee</t>
  </si>
  <si>
    <t xml:space="preserve">Private Money Interest Rate (Annual)</t>
  </si>
  <si>
    <t xml:space="preserve">TARGET RETURNS</t>
  </si>
  <si>
    <t xml:space="preserve">Minimum Acceptable Profit</t>
  </si>
  <si>
    <t xml:space="preserve">Minimum ROI Target</t>
  </si>
  <si>
    <t xml:space="preserve">70% Rule Percentage</t>
  </si>
  <si>
    <t xml:space="preserve">Adjust by market</t>
  </si>
  <si>
    <t xml:space="preserve">DEAL ANALYSIS</t>
  </si>
  <si>
    <t xml:space="preserve">70% Rule, MAO Calculation &amp; Profitability Analysis</t>
  </si>
  <si>
    <t xml:space="preserve">AFTER REPAIR VALUE (ARV) ANALYSIS</t>
  </si>
  <si>
    <t xml:space="preserve">Value</t>
  </si>
  <si>
    <t xml:space="preserve">Note</t>
  </si>
  <si>
    <t xml:space="preserve">After Repair Value (ARV)</t>
  </si>
  <si>
    <t xml:space="preserve">From Inputs sheet</t>
  </si>
  <si>
    <t xml:space="preserve">TOTAL PROJECT COSTS</t>
  </si>
  <si>
    <t xml:space="preserve">Acquisition Closing Costs</t>
  </si>
  <si>
    <t xml:space="preserve">Renovation Costs (with contingency)</t>
  </si>
  <si>
    <t xml:space="preserve">Base + reserve</t>
  </si>
  <si>
    <t xml:space="preserve">Holding Costs (monthly × months)</t>
  </si>
  <si>
    <t xml:space="preserve">Insurance, taxes, utilities</t>
  </si>
  <si>
    <t xml:space="preserve">All-In Cost</t>
  </si>
  <si>
    <t xml:space="preserve">Cash/Equity Required</t>
  </si>
  <si>
    <t xml:space="preserve">For cash deal</t>
  </si>
  <si>
    <t xml:space="preserve">SELLING ANALYSIS</t>
  </si>
  <si>
    <t xml:space="preserve">Total Selling Costs</t>
  </si>
  <si>
    <t xml:space="preserve">Commission + closing + staging</t>
  </si>
  <si>
    <t xml:space="preserve">Net Sales Proceeds</t>
  </si>
  <si>
    <t xml:space="preserve">Gross Profit</t>
  </si>
  <si>
    <t xml:space="preserve">Return on Investment (ROI)</t>
  </si>
  <si>
    <t xml:space="preserve">Profit / Equity</t>
  </si>
  <si>
    <t xml:space="preserve">70% RULE CHECK</t>
  </si>
  <si>
    <t xml:space="preserve">Maximum Allowable Offer (MAO) Formula:</t>
  </si>
  <si>
    <t xml:space="preserve">ARV × 70% - Repair Costs</t>
  </si>
  <si>
    <t xml:space="preserve">MAO Calculation</t>
  </si>
  <si>
    <t xml:space="preserve">Max you should pay</t>
  </si>
  <si>
    <t xml:space="preserve">Your Purchase Price</t>
  </si>
  <si>
    <t xml:space="preserve">70% Rule Result</t>
  </si>
  <si>
    <t xml:space="preserve">Pass if under MAO</t>
  </si>
  <si>
    <t xml:space="preserve">Deal Quality Rating</t>
  </si>
  <si>
    <t xml:space="preserve">Based on ROI</t>
  </si>
  <si>
    <t xml:space="preserve">DETAILED METRICS</t>
  </si>
  <si>
    <t xml:space="preserve">Purchase Price per SF</t>
  </si>
  <si>
    <t xml:space="preserve">ARV per SF</t>
  </si>
  <si>
    <t xml:space="preserve">Renovation Cost per SF</t>
  </si>
  <si>
    <t xml:space="preserve">Profit per SF</t>
  </si>
  <si>
    <t xml:space="preserve">Profit Margin (% of ARV)</t>
  </si>
  <si>
    <t xml:space="preserve">Profit per Day Held</t>
  </si>
  <si>
    <t xml:space="preserve">Total Hold Period</t>
  </si>
  <si>
    <t xml:space="preserve">PROFITABILITY BENCHMARKS</t>
  </si>
  <si>
    <t xml:space="preserve">Metric</t>
  </si>
  <si>
    <t xml:space="preserve">Your Deal</t>
  </si>
  <si>
    <t xml:space="preserve">Market Avg</t>
  </si>
  <si>
    <t xml:space="preserve">Status</t>
  </si>
  <si>
    <t xml:space="preserve">ROI</t>
  </si>
  <si>
    <t xml:space="preserve">Profit Margin</t>
  </si>
  <si>
    <t xml:space="preserve">DEAL RECOMMENDATION</t>
  </si>
  <si>
    <t xml:space="preserve">RENOVATION BUDGET</t>
  </si>
  <si>
    <t xml:space="preserve">Detailed Line-Item Breakdown by Category</t>
  </si>
  <si>
    <t xml:space="preserve">Category</t>
  </si>
  <si>
    <t xml:space="preserve">Item Description</t>
  </si>
  <si>
    <t xml:space="preserve">Cost</t>
  </si>
  <si>
    <t xml:space="preserve">Notes</t>
  </si>
  <si>
    <t xml:space="preserve">KITCHEN</t>
  </si>
  <si>
    <t xml:space="preserve">Cabinets (paint or replace)</t>
  </si>
  <si>
    <t xml:space="preserve">Paint: $2k, Replace: $5-10k</t>
  </si>
  <si>
    <t xml:space="preserve">Countertops</t>
  </si>
  <si>
    <t xml:space="preserve">Granite/Quartz</t>
  </si>
  <si>
    <t xml:space="preserve">Appliances (stove, fridge, dishwasher, microwave)</t>
  </si>
  <si>
    <t xml:space="preserve">Mid-grade stainless</t>
  </si>
  <si>
    <t xml:space="preserve">Sink &amp; Faucet</t>
  </si>
  <si>
    <t xml:space="preserve">Backsplash</t>
  </si>
  <si>
    <t xml:space="preserve">Tile/subway tile</t>
  </si>
  <si>
    <t xml:space="preserve">Lighting Fixtures</t>
  </si>
  <si>
    <t xml:space="preserve">Kitchen Subtotal</t>
  </si>
  <si>
    <t xml:space="preserve">BATHROOMS</t>
  </si>
  <si>
    <t xml:space="preserve">Vanity &amp; Sink</t>
  </si>
  <si>
    <t xml:space="preserve">Per bathroom</t>
  </si>
  <si>
    <t xml:space="preserve">Toilet</t>
  </si>
  <si>
    <t xml:space="preserve">Tub/Shower</t>
  </si>
  <si>
    <t xml:space="preserve">Refinish or replace</t>
  </si>
  <si>
    <t xml:space="preserve">Tile (floor &amp; shower)</t>
  </si>
  <si>
    <t xml:space="preserve">Fixtures &amp; Faucets</t>
  </si>
  <si>
    <t xml:space="preserve">Lighting &amp; Ventilation</t>
  </si>
  <si>
    <t xml:space="preserve">Bathrooms Subtotal</t>
  </si>
  <si>
    <t xml:space="preserve">FLOORING</t>
  </si>
  <si>
    <t xml:space="preserve">Hardwood/LVP Main Living Areas</t>
  </si>
  <si>
    <t xml:space="preserve">$4-6/SF installed</t>
  </si>
  <si>
    <t xml:space="preserve">Carpet Bedrooms</t>
  </si>
  <si>
    <t xml:space="preserve">$2-3/SF installed</t>
  </si>
  <si>
    <t xml:space="preserve">Tile (baths/entry)</t>
  </si>
  <si>
    <t xml:space="preserve">Flooring Subtotal</t>
  </si>
  <si>
    <t xml:space="preserve">PAINT &amp; FINISHES</t>
  </si>
  <si>
    <t xml:space="preserve">Interior Paint (entire house)</t>
  </si>
  <si>
    <t xml:space="preserve">$1.50-2.50/SF</t>
  </si>
  <si>
    <t xml:space="preserve">Exterior Paint</t>
  </si>
  <si>
    <t xml:space="preserve">Trim &amp; Baseboards</t>
  </si>
  <si>
    <t xml:space="preserve">Paint Subtotal</t>
  </si>
  <si>
    <t xml:space="preserve">SYSTEMS &amp; MECHANICALS</t>
  </si>
  <si>
    <t xml:space="preserve">HVAC (repair or replace)</t>
  </si>
  <si>
    <t xml:space="preserve">Replace: $5-8k</t>
  </si>
  <si>
    <t xml:space="preserve">Plumbing Repairs</t>
  </si>
  <si>
    <t xml:space="preserve">Electrical Updates</t>
  </si>
  <si>
    <t xml:space="preserve">Water Heater</t>
  </si>
  <si>
    <t xml:space="preserve">Systems Subtotal</t>
  </si>
  <si>
    <t xml:space="preserve">EXTERIOR &amp; LANDSCAPING</t>
  </si>
  <si>
    <t xml:space="preserve">Roof Repairs/Replacement</t>
  </si>
  <si>
    <t xml:space="preserve">Full replace: $8-12k</t>
  </si>
  <si>
    <t xml:space="preserve">Landscaping &amp; Yard Cleanup</t>
  </si>
  <si>
    <t xml:space="preserve">Driveway/Walkway</t>
  </si>
  <si>
    <t xml:space="preserve">Fence (if needed)</t>
  </si>
  <si>
    <t xml:space="preserve">Exterior Subtotal</t>
  </si>
  <si>
    <t xml:space="preserve">PERMITS &amp; SOFT COSTS</t>
  </si>
  <si>
    <t xml:space="preserve">Building Permits</t>
  </si>
  <si>
    <t xml:space="preserve">Dumpster &amp; Cleanup</t>
  </si>
  <si>
    <t xml:space="preserve">Design/Architect (if needed)</t>
  </si>
  <si>
    <t xml:space="preserve">Permits Subtotal</t>
  </si>
  <si>
    <t xml:space="preserve">BASE RENOVATION BUDGET</t>
  </si>
  <si>
    <t xml:space="preserve">Contingency Reserve (10%)</t>
  </si>
  <si>
    <t xml:space="preserve">TOTAL RENOVATION BUDGET</t>
  </si>
  <si>
    <t xml:space="preserve">Cost per SF</t>
  </si>
  <si>
    <t xml:space="preserve">MONTHLY CASH FLOW PROFORMA</t>
  </si>
  <si>
    <t xml:space="preserve">Month-by-Month Cash Flow from Acquisition to Sale</t>
  </si>
  <si>
    <t xml:space="preserve">Month</t>
  </si>
  <si>
    <t xml:space="preserve">Phase</t>
  </si>
  <si>
    <t xml:space="preserve">Cash Out</t>
  </si>
  <si>
    <t xml:space="preserve">Cash In</t>
  </si>
  <si>
    <t xml:space="preserve">Net Cash Flow</t>
  </si>
  <si>
    <t xml:space="preserve">Cumulative</t>
  </si>
  <si>
    <t xml:space="preserve">Balance</t>
  </si>
  <si>
    <t xml:space="preserve">Acquisition</t>
  </si>
  <si>
    <t xml:space="preserve">Purchase + closing costs</t>
  </si>
  <si>
    <t xml:space="preserve">Renovation</t>
  </si>
  <si>
    <t xml:space="preserve">1/3 reno + holding costs</t>
  </si>
  <si>
    <t xml:space="preserve">Final 1/3 reno + holding</t>
  </si>
  <si>
    <t xml:space="preserve">Marketing</t>
  </si>
  <si>
    <t xml:space="preserve">Staging + holding costs</t>
  </si>
  <si>
    <t xml:space="preserve">Holding costs only</t>
  </si>
  <si>
    <t xml:space="preserve">SALE</t>
  </si>
  <si>
    <t xml:space="preserve">ARV sale - selling costs</t>
  </si>
  <si>
    <t xml:space="preserve">CASH FLOW SUMMARY</t>
  </si>
  <si>
    <t xml:space="preserve">Total Cash Out</t>
  </si>
  <si>
    <t xml:space="preserve">Total Cash In</t>
  </si>
  <si>
    <t xml:space="preserve">Net Profit (before financing)</t>
  </si>
  <si>
    <t xml:space="preserve">Maximum Capital Required</t>
  </si>
  <si>
    <t xml:space="preserve">Peak negative cash</t>
  </si>
  <si>
    <t xml:space="preserve">Months to Break Even</t>
  </si>
  <si>
    <t xml:space="preserve">At sale</t>
  </si>
  <si>
    <t xml:space="preserve">Annualized Return</t>
  </si>
  <si>
    <t xml:space="preserve">If 6-month project</t>
  </si>
  <si>
    <t xml:space="preserve">COST BREAKDOWN BY PHASE</t>
  </si>
  <si>
    <t xml:space="preserve">Duration</t>
  </si>
  <si>
    <t xml:space="preserve">Total Cost</t>
  </si>
  <si>
    <t xml:space="preserve">% of Total</t>
  </si>
  <si>
    <t xml:space="preserve">1 month</t>
  </si>
  <si>
    <t xml:space="preserve">3 months</t>
  </si>
  <si>
    <t xml:space="preserve">2 months</t>
  </si>
  <si>
    <t xml:space="preserve">Selling Costs</t>
  </si>
  <si>
    <t xml:space="preserve">At close</t>
  </si>
  <si>
    <t xml:space="preserve">TOTAL</t>
  </si>
  <si>
    <t xml:space="preserve">FINANCING STRATEGY COMPARISON</t>
  </si>
  <si>
    <t xml:space="preserve">Compare Cash, Hard Money, Private Money &amp; BRRRR Strategies</t>
  </si>
  <si>
    <t xml:space="preserve">All Cash</t>
  </si>
  <si>
    <t xml:space="preserve">Hard Money</t>
  </si>
  <si>
    <t xml:space="preserve">Private Money</t>
  </si>
  <si>
    <t xml:space="preserve">BRRRR</t>
  </si>
  <si>
    <t xml:space="preserve">PROJECT COSTS</t>
  </si>
  <si>
    <t xml:space="preserve">Closing Costs</t>
  </si>
  <si>
    <t xml:space="preserve">Renovation Cost</t>
  </si>
  <si>
    <t xml:space="preserve">Total Project Cost</t>
  </si>
  <si>
    <t xml:space="preserve">FINANCING STRUCTURE</t>
  </si>
  <si>
    <t xml:space="preserve">Loan Amount</t>
  </si>
  <si>
    <t xml:space="preserve">Loan-to-Cost (LTC)</t>
  </si>
  <si>
    <t xml:space="preserve">FINANCING COSTS</t>
  </si>
  <si>
    <t xml:space="preserve">Interest Rate (Annual)</t>
  </si>
  <si>
    <t xml:space="preserve">Points/Origination Fee</t>
  </si>
  <si>
    <t xml:space="preserve">Interest Cost (6 months)</t>
  </si>
  <si>
    <t xml:space="preserve">Total Financing Cost</t>
  </si>
  <si>
    <t xml:space="preserve">EXIT &amp; RETURNS</t>
  </si>
  <si>
    <t xml:space="preserve">Sale Price (ARV)</t>
  </si>
  <si>
    <t xml:space="preserve">Loan Payoff</t>
  </si>
  <si>
    <t xml:space="preserve">Net Proceeds</t>
  </si>
  <si>
    <t xml:space="preserve">Total Cash Invested</t>
  </si>
  <si>
    <t xml:space="preserve">Net Profit</t>
  </si>
  <si>
    <t xml:space="preserve">ROI (Return on Investment)</t>
  </si>
  <si>
    <t xml:space="preserve">STRATEGY COMPARISON</t>
  </si>
  <si>
    <t xml:space="preserve">Best For:</t>
  </si>
  <si>
    <t xml:space="preserve">Maximum profit per deal</t>
  </si>
  <si>
    <t xml:space="preserve">Fast close, limited capital</t>
  </si>
  <si>
    <t xml:space="preserve">Lower cost capital</t>
  </si>
  <si>
    <t xml:space="preserve">Build rental portfolio</t>
  </si>
  <si>
    <t xml:space="preserve">Pros:</t>
  </si>
  <si>
    <t xml:space="preserve">• No interest costs</t>
  </si>
  <si>
    <t xml:space="preserve">• Quick approval</t>
  </si>
  <si>
    <t xml:space="preserve">• Lower rates</t>
  </si>
  <si>
    <t xml:space="preserve">• Keep property</t>
  </si>
  <si>
    <t xml:space="preserve">• Highest ROI</t>
  </si>
  <si>
    <t xml:space="preserve">• 75% LTC typical</t>
  </si>
  <si>
    <t xml:space="preserve">• Relationship-based</t>
  </si>
  <si>
    <t xml:space="preserve">• Cash-out equity</t>
  </si>
  <si>
    <t xml:space="preserve">• Simple structure</t>
  </si>
  <si>
    <t xml:space="preserve">• No income docs</t>
  </si>
  <si>
    <t xml:space="preserve">• Flexible terms</t>
  </si>
  <si>
    <t xml:space="preserve">• Monthly income</t>
  </si>
  <si>
    <t xml:space="preserve">Cons:</t>
  </si>
  <si>
    <t xml:space="preserve">• Ties up capital</t>
  </si>
  <si>
    <t xml:space="preserve">• High interest (10%+)</t>
  </si>
  <si>
    <t xml:space="preserve">• Requires network</t>
  </si>
  <si>
    <t xml:space="preserve">• Landlord duties</t>
  </si>
  <si>
    <t xml:space="preserve">• Limits deal flow</t>
  </si>
  <si>
    <t xml:space="preserve">• Points upfront (3%)</t>
  </si>
  <si>
    <t xml:space="preserve">• Takes longer</t>
  </si>
  <si>
    <t xml:space="preserve">• Not quick cash</t>
  </si>
  <si>
    <t xml:space="preserve">• Opportunity cost</t>
  </si>
  <si>
    <t xml:space="preserve">• Short-term (6-12mo)</t>
  </si>
  <si>
    <t xml:space="preserve">• May be limited</t>
  </si>
  <si>
    <t xml:space="preserve">• Market risk</t>
  </si>
  <si>
    <t xml:space="preserve">RECOMMENDED STRATEGY</t>
  </si>
  <si>
    <t xml:space="preserve">SENSITIVITY ANALYSIS</t>
  </si>
  <si>
    <t xml:space="preserve">Test Best Case, Base Case &amp; Worst Case Scenarios</t>
  </si>
  <si>
    <t xml:space="preserve">SCENARIO ASSUMPTIONS</t>
  </si>
  <si>
    <t xml:space="preserve">Variable</t>
  </si>
  <si>
    <t xml:space="preserve">Worst Case</t>
  </si>
  <si>
    <t xml:space="preserve">% Change</t>
  </si>
  <si>
    <t xml:space="preserve">Base Case</t>
  </si>
  <si>
    <t xml:space="preserve">Best Case</t>
  </si>
  <si>
    <t xml:space="preserve">-10%</t>
  </si>
  <si>
    <t xml:space="preserve">0%</t>
  </si>
  <si>
    <t xml:space="preserve">ARV lower/higher than expected</t>
  </si>
  <si>
    <t xml:space="preserve">+20%</t>
  </si>
  <si>
    <t xml:space="preserve">Overruns vs under budget</t>
  </si>
  <si>
    <t xml:space="preserve">Hold Period (months)</t>
  </si>
  <si>
    <t xml:space="preserve">+50%</t>
  </si>
  <si>
    <t xml:space="preserve">Time to sell (affects holding costs)</t>
  </si>
  <si>
    <t xml:space="preserve">Fixed - already purchased</t>
  </si>
  <si>
    <t xml:space="preserve">SCENARIO RESULTS</t>
  </si>
  <si>
    <t xml:space="preserve">vs Base</t>
  </si>
  <si>
    <t xml:space="preserve">Analysis</t>
  </si>
  <si>
    <t xml:space="preserve">RISK ASSESSMENT</t>
  </si>
  <si>
    <t xml:space="preserve">Can you afford worst case?</t>
  </si>
  <si>
    <t xml:space="preserve">Minimum acceptable profit?</t>
  </si>
  <si>
    <t xml:space="preserve">Deal quality in worst case?</t>
  </si>
  <si>
    <t xml:space="preserve">Upside potential?</t>
  </si>
  <si>
    <t xml:space="preserve">Additional profit in best case</t>
  </si>
  <si>
    <t xml:space="preserve">Downside risk?</t>
  </si>
  <si>
    <t xml:space="preserve">Profit reduction in worst case</t>
  </si>
  <si>
    <t xml:space="preserve">BREAKEVEN ANALYSIS</t>
  </si>
  <si>
    <t xml:space="preserve">Breakeven ARV</t>
  </si>
  <si>
    <t xml:space="preserve">Min ARV to break even</t>
  </si>
  <si>
    <t xml:space="preserve">Margin of Safety (ARV)</t>
  </si>
  <si>
    <t xml:space="preserve">% ARV can drop before losing money</t>
  </si>
  <si>
    <t xml:space="preserve">Max Renovation Overrun</t>
  </si>
  <si>
    <t xml:space="preserve">Max budget before unprofitable</t>
  </si>
  <si>
    <t xml:space="preserve">Renovation Safety Margin</t>
  </si>
  <si>
    <t xml:space="preserve">% budget can overrun</t>
  </si>
  <si>
    <t xml:space="preserve">OVERALL ASSESSMENT</t>
  </si>
  <si>
    <t xml:space="preserve">EXIT STRATEGY COMPARISON</t>
  </si>
  <si>
    <t xml:space="preserve">Strategy</t>
  </si>
  <si>
    <t xml:space="preserve">Flip</t>
  </si>
  <si>
    <t xml:space="preserve">Rental</t>
  </si>
  <si>
    <t xml:space="preserve">Seller Finance</t>
  </si>
  <si>
    <t xml:space="preserve">Monthly Income</t>
  </si>
  <si>
    <t xml:space="preserve">ROI Year 1</t>
  </si>
  <si>
    <t xml:space="preserve">Quick profit</t>
  </si>
  <si>
    <t xml:space="preserve">Scale portfolio</t>
  </si>
  <si>
    <t xml:space="preserve">Passive income</t>
  </si>
  <si>
    <t xml:space="preserve">Slow market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</si>
</sst>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#,##0"/>
    <numFmt numFmtId="168" formatCode="0"/>
    <numFmt numFmtId="169" formatCode="0.00%"/>
    <numFmt numFmtId="170" formatCode="0.0"/>
    <numFmt numFmtId="171" formatCode="[$$-409]#,##0.00;[RED]\-[$$-409]#,##0.00"/>
    <numFmt numFmtId="172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2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rgb="FFFF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FFFFFF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D9E1F2"/>
        <bgColor rgb="FFE7E6FF"/>
      </patternFill>
    </fill>
    <fill>
      <patternFill patternType="solid">
        <fgColor rgb="FFE7E6FF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E7E6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5"/>
    <col collapsed="false" customWidth="true" hidden="false" outlineLevel="0" max="6" min="6" style="1" width="8"/>
    <col collapsed="false" customWidth="true" hidden="false" outlineLevel="0" max="7" min="7" style="1" width="20"/>
    <col collapsed="false" customWidth="true" hidden="false" outlineLevel="0" max="8" min="8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4"/>
      <c r="D4" s="4" t="s">
        <v>3</v>
      </c>
      <c r="E4" s="4"/>
      <c r="G4" s="4" t="s">
        <v>4</v>
      </c>
      <c r="H4" s="4"/>
    </row>
    <row r="5" customFormat="false" ht="15" hidden="false" customHeight="true" outlineLevel="0" collapsed="false">
      <c r="A5" s="1" t="s">
        <v>5</v>
      </c>
      <c r="B5" s="5" t="str">
        <f aca="false">Inputs!B5</f>
        <v>123 Main Street, Anytown, USA</v>
      </c>
      <c r="D5" s="1" t="s">
        <v>6</v>
      </c>
      <c r="E5" s="6" t="n">
        <f aca="false">Inputs!B13</f>
        <v>150000</v>
      </c>
      <c r="G5" s="1" t="s">
        <v>7</v>
      </c>
      <c r="H5" s="6" t="n">
        <f aca="false">'Deal Analysis'!E15</f>
        <v>0</v>
      </c>
    </row>
    <row r="6" customFormat="false" ht="15" hidden="false" customHeight="true" outlineLevel="0" collapsed="false">
      <c r="A6" s="1" t="s">
        <v>8</v>
      </c>
      <c r="B6" s="5" t="str">
        <f aca="false">Inputs!B6</f>
        <v>Single Family Home</v>
      </c>
      <c r="D6" s="1" t="s">
        <v>9</v>
      </c>
      <c r="E6" s="6" t="str">
        <f aca="false">'Deal Analysis'!E6</f>
        <v>From Inputs sheet</v>
      </c>
      <c r="G6" s="1" t="s">
        <v>10</v>
      </c>
      <c r="H6" s="7" t="n">
        <f aca="false">'Deal Analysis'!E16</f>
        <v>0</v>
      </c>
    </row>
    <row r="7" customFormat="false" ht="15" hidden="false" customHeight="true" outlineLevel="0" collapsed="false">
      <c r="A7" s="1" t="s">
        <v>11</v>
      </c>
      <c r="B7" s="8" t="n">
        <f aca="false">Inputs!B7</f>
        <v>1800</v>
      </c>
      <c r="D7" s="1" t="s">
        <v>12</v>
      </c>
      <c r="E7" s="6" t="n">
        <f aca="false">'Renovation Budget'!C50</f>
        <v>800</v>
      </c>
      <c r="G7" s="1" t="s">
        <v>13</v>
      </c>
      <c r="H7" s="5" t="n">
        <f aca="false">'Deal Analysis'!E21</f>
        <v>0</v>
      </c>
    </row>
    <row r="8" customFormat="false" ht="15" hidden="false" customHeight="true" outlineLevel="0" collapsed="false">
      <c r="A8" s="1" t="s">
        <v>14</v>
      </c>
      <c r="B8" s="5" t="str">
        <f aca="false">Inputs!B8&amp;" / "&amp;Inputs!B9</f>
        <v>3 / 2</v>
      </c>
      <c r="D8" s="1" t="s">
        <v>15</v>
      </c>
      <c r="E8" s="6" t="n">
        <f aca="false">'Deal Analysis'!E10</f>
        <v>0</v>
      </c>
      <c r="G8" s="1" t="s">
        <v>16</v>
      </c>
      <c r="H8" s="5" t="n">
        <f aca="false">'Deal Analysis'!E22</f>
        <v>0</v>
      </c>
    </row>
    <row r="13" customFormat="false" ht="15" hidden="false" customHeight="true" outlineLevel="0" collapsed="false">
      <c r="A13" s="4" t="s">
        <v>17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1" t="s">
        <v>18</v>
      </c>
      <c r="B14" s="9" t="n">
        <f aca="false">Inputs!B34</f>
        <v>200</v>
      </c>
      <c r="C14" s="1" t="s">
        <v>19</v>
      </c>
      <c r="D14" s="1" t="s">
        <v>20</v>
      </c>
      <c r="E14" s="9" t="n">
        <f aca="false">Inputs!B35</f>
        <v>0</v>
      </c>
      <c r="F14" s="1" t="s">
        <v>19</v>
      </c>
      <c r="G14" s="1" t="s">
        <v>21</v>
      </c>
      <c r="H14" s="9" t="n">
        <f aca="false">Inputs!B36</f>
        <v>0</v>
      </c>
      <c r="I14" s="1" t="s">
        <v>19</v>
      </c>
    </row>
    <row r="15" customFormat="false" ht="15" hidden="false" customHeight="true" outlineLevel="0" collapsed="false">
      <c r="A15" s="1" t="s">
        <v>22</v>
      </c>
      <c r="B15" s="10" t="n">
        <f aca="false">Inputs!B34+Inputs!B35+Inputs!B36</f>
        <v>200</v>
      </c>
      <c r="C15" s="1" t="s">
        <v>19</v>
      </c>
    </row>
  </sheetData>
  <mergeCells count="6">
    <mergeCell ref="A1:H1"/>
    <mergeCell ref="A2:H2"/>
    <mergeCell ref="A4:B4"/>
    <mergeCell ref="D4:E4"/>
    <mergeCell ref="G4:H4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3" min="3" style="1" width="20"/>
  </cols>
  <sheetData>
    <row r="1" customFormat="false" ht="19.5" hidden="false" customHeight="true" outlineLevel="0" collapsed="false">
      <c r="A1" s="2" t="s">
        <v>23</v>
      </c>
      <c r="B1" s="2"/>
      <c r="C1" s="2"/>
    </row>
    <row r="2" customFormat="false" ht="15" hidden="false" customHeight="true" outlineLevel="0" collapsed="false">
      <c r="A2" s="11" t="s">
        <v>24</v>
      </c>
      <c r="B2" s="11"/>
      <c r="C2" s="11"/>
    </row>
    <row r="4" customFormat="false" ht="1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1" t="s">
        <v>25</v>
      </c>
      <c r="B5" s="12" t="s">
        <v>26</v>
      </c>
    </row>
    <row r="6" customFormat="false" ht="15" hidden="false" customHeight="true" outlineLevel="0" collapsed="false">
      <c r="A6" s="1" t="s">
        <v>27</v>
      </c>
      <c r="B6" s="12" t="s">
        <v>28</v>
      </c>
    </row>
    <row r="7" customFormat="false" ht="15" hidden="false" customHeight="true" outlineLevel="0" collapsed="false">
      <c r="A7" s="1" t="s">
        <v>29</v>
      </c>
      <c r="B7" s="13" t="n">
        <v>1800</v>
      </c>
    </row>
    <row r="8" customFormat="false" ht="15" hidden="false" customHeight="true" outlineLevel="0" collapsed="false">
      <c r="A8" s="1" t="s">
        <v>30</v>
      </c>
      <c r="B8" s="12" t="n">
        <v>3</v>
      </c>
    </row>
    <row r="9" customFormat="false" ht="15" hidden="false" customHeight="true" outlineLevel="0" collapsed="false">
      <c r="A9" s="1" t="s">
        <v>31</v>
      </c>
      <c r="B9" s="12" t="n">
        <v>2</v>
      </c>
    </row>
    <row r="10" customFormat="false" ht="15" hidden="false" customHeight="true" outlineLevel="0" collapsed="false">
      <c r="A10" s="1" t="s">
        <v>32</v>
      </c>
      <c r="B10" s="12" t="n">
        <v>1975</v>
      </c>
    </row>
    <row r="12" customFormat="false" ht="15" hidden="false" customHeight="true" outlineLevel="0" collapsed="false">
      <c r="A12" s="4" t="s">
        <v>33</v>
      </c>
      <c r="B12" s="4"/>
      <c r="C12" s="4"/>
    </row>
    <row r="13" customFormat="false" ht="15" hidden="false" customHeight="true" outlineLevel="0" collapsed="false">
      <c r="A13" s="1" t="s">
        <v>34</v>
      </c>
      <c r="B13" s="14" t="n">
        <v>150000</v>
      </c>
    </row>
    <row r="14" customFormat="false" ht="15" hidden="false" customHeight="true" outlineLevel="0" collapsed="false">
      <c r="A14" s="1" t="s">
        <v>35</v>
      </c>
      <c r="B14" s="15" t="n">
        <v>0.025</v>
      </c>
      <c r="C14" s="16" t="n">
        <f aca="false">B13*B14</f>
        <v>3750</v>
      </c>
    </row>
    <row r="15" customFormat="false" ht="15" hidden="false" customHeight="true" outlineLevel="0" collapsed="false">
      <c r="A15" s="1" t="s">
        <v>36</v>
      </c>
      <c r="B15" s="14" t="n">
        <v>500</v>
      </c>
    </row>
    <row r="16" customFormat="false" ht="15" hidden="false" customHeight="true" outlineLevel="0" collapsed="false">
      <c r="A16" s="1" t="s">
        <v>37</v>
      </c>
      <c r="B16" s="14" t="n">
        <v>1000</v>
      </c>
    </row>
    <row r="18" customFormat="false" ht="15" hidden="false" customHeight="true" outlineLevel="0" collapsed="false">
      <c r="A18" s="4" t="s">
        <v>38</v>
      </c>
      <c r="B18" s="4"/>
      <c r="C18" s="4"/>
    </row>
    <row r="19" customFormat="false" ht="15" hidden="false" customHeight="true" outlineLevel="0" collapsed="false">
      <c r="A19" s="1" t="s">
        <v>39</v>
      </c>
      <c r="B19" s="12" t="s">
        <v>40</v>
      </c>
      <c r="C19" s="1" t="s">
        <v>41</v>
      </c>
    </row>
    <row r="20" customFormat="false" ht="15" hidden="false" customHeight="true" outlineLevel="0" collapsed="false">
      <c r="A20" s="1" t="s">
        <v>42</v>
      </c>
      <c r="B20" s="14" t="n">
        <v>45000</v>
      </c>
    </row>
    <row r="21" customFormat="false" ht="15" hidden="false" customHeight="true" outlineLevel="0" collapsed="false">
      <c r="A21" s="1" t="s">
        <v>43</v>
      </c>
      <c r="B21" s="17" t="n">
        <v>0.1</v>
      </c>
      <c r="C21" s="16"/>
    </row>
    <row r="23" customFormat="false" ht="15" hidden="false" customHeight="true" outlineLevel="0" collapsed="false">
      <c r="A23" s="4" t="s">
        <v>44</v>
      </c>
      <c r="B23" s="4"/>
      <c r="C23" s="4"/>
    </row>
    <row r="24" customFormat="false" ht="15" hidden="false" customHeight="true" outlineLevel="0" collapsed="false">
      <c r="A24" s="1" t="s">
        <v>45</v>
      </c>
      <c r="B24" s="14" t="n">
        <v>285000</v>
      </c>
    </row>
    <row r="25" customFormat="false" ht="15" hidden="false" customHeight="true" outlineLevel="0" collapsed="false">
      <c r="A25" s="1" t="s">
        <v>46</v>
      </c>
      <c r="B25" s="14" t="n">
        <v>295000</v>
      </c>
    </row>
    <row r="26" customFormat="false" ht="15" hidden="false" customHeight="true" outlineLevel="0" collapsed="false">
      <c r="A26" s="1" t="s">
        <v>47</v>
      </c>
      <c r="B26" s="14" t="n">
        <v>290000</v>
      </c>
    </row>
    <row r="27" customFormat="false" ht="15" hidden="false" customHeight="true" outlineLevel="0" collapsed="false">
      <c r="A27" s="1" t="s">
        <v>48</v>
      </c>
      <c r="B27" s="18" t="n">
        <f aca="false">AVERAGE(B23:B25)</f>
        <v>290000</v>
      </c>
    </row>
    <row r="28" customFormat="false" ht="15" hidden="false" customHeight="true" outlineLevel="0" collapsed="false">
      <c r="A28" s="1" t="s">
        <v>49</v>
      </c>
      <c r="B28" s="17" t="n">
        <v>0.02</v>
      </c>
      <c r="C28" s="1" t="s">
        <v>50</v>
      </c>
    </row>
    <row r="29" customFormat="false" ht="15" hidden="false" customHeight="true" outlineLevel="0" collapsed="false">
      <c r="A29" s="1" t="s">
        <v>51</v>
      </c>
      <c r="B29" s="19" t="n">
        <f aca="false">B26*(1-B27)</f>
        <v>-84099710000</v>
      </c>
    </row>
    <row r="31" customFormat="false" ht="15" hidden="false" customHeight="true" outlineLevel="0" collapsed="false">
      <c r="A31" s="4" t="s">
        <v>52</v>
      </c>
      <c r="B31" s="4"/>
      <c r="C31" s="4"/>
    </row>
    <row r="32" customFormat="false" ht="15" hidden="false" customHeight="true" outlineLevel="0" collapsed="false">
      <c r="A32" s="1" t="s">
        <v>53</v>
      </c>
      <c r="B32" s="14" t="n">
        <v>150</v>
      </c>
    </row>
    <row r="33" customFormat="false" ht="15" hidden="false" customHeight="true" outlineLevel="0" collapsed="false">
      <c r="A33" s="1" t="s">
        <v>54</v>
      </c>
      <c r="B33" s="14" t="n">
        <v>250</v>
      </c>
    </row>
    <row r="34" customFormat="false" ht="15" hidden="false" customHeight="true" outlineLevel="0" collapsed="false">
      <c r="A34" s="1" t="s">
        <v>55</v>
      </c>
      <c r="B34" s="14" t="n">
        <v>200</v>
      </c>
    </row>
    <row r="35" customFormat="false" ht="15" hidden="false" customHeight="true" outlineLevel="0" collapsed="false">
      <c r="A35" s="1" t="s">
        <v>56</v>
      </c>
      <c r="B35" s="14" t="n">
        <v>0</v>
      </c>
    </row>
    <row r="37" customFormat="false" ht="15" hidden="false" customHeight="true" outlineLevel="0" collapsed="false">
      <c r="A37" s="4" t="s">
        <v>17</v>
      </c>
      <c r="B37" s="4"/>
      <c r="C37" s="4"/>
    </row>
    <row r="38" customFormat="false" ht="15" hidden="false" customHeight="true" outlineLevel="0" collapsed="false">
      <c r="A38" s="1" t="s">
        <v>57</v>
      </c>
      <c r="B38" s="12" t="n">
        <v>30</v>
      </c>
      <c r="C38" s="20" t="n">
        <f aca="false">B37/30</f>
        <v>0</v>
      </c>
    </row>
    <row r="39" customFormat="false" ht="15" hidden="false" customHeight="true" outlineLevel="0" collapsed="false">
      <c r="A39" s="1" t="s">
        <v>58</v>
      </c>
      <c r="B39" s="12" t="n">
        <v>90</v>
      </c>
    </row>
    <row r="40" customFormat="false" ht="15" hidden="false" customHeight="true" outlineLevel="0" collapsed="false">
      <c r="A40" s="1" t="s">
        <v>59</v>
      </c>
      <c r="B40" s="12" t="n">
        <v>60</v>
      </c>
    </row>
    <row r="41" customFormat="false" ht="15" hidden="false" customHeight="true" outlineLevel="0" collapsed="false">
      <c r="A41" s="1" t="s">
        <v>60</v>
      </c>
      <c r="B41" s="21" t="n">
        <f aca="false">B34+B35+B36</f>
        <v>200</v>
      </c>
      <c r="C41" s="1" t="str">
        <f aca="false">B37/30&amp;" months"</f>
        <v>0 months</v>
      </c>
    </row>
    <row r="43" customFormat="false" ht="15" hidden="false" customHeight="true" outlineLevel="0" collapsed="false">
      <c r="A43" s="4" t="s">
        <v>61</v>
      </c>
      <c r="B43" s="4"/>
      <c r="C43" s="4"/>
    </row>
    <row r="44" customFormat="false" ht="15" hidden="false" customHeight="true" outlineLevel="0" collapsed="false">
      <c r="A44" s="1" t="s">
        <v>62</v>
      </c>
      <c r="B44" s="17" t="n">
        <v>0.06</v>
      </c>
    </row>
    <row r="45" customFormat="false" ht="15" hidden="false" customHeight="true" outlineLevel="0" collapsed="false">
      <c r="A45" s="1" t="s">
        <v>63</v>
      </c>
      <c r="B45" s="17" t="n">
        <v>0.015</v>
      </c>
    </row>
    <row r="46" customFormat="false" ht="15" hidden="false" customHeight="true" outlineLevel="0" collapsed="false">
      <c r="A46" s="1" t="s">
        <v>64</v>
      </c>
      <c r="B46" s="14" t="n">
        <v>2000</v>
      </c>
    </row>
    <row r="48" customFormat="false" ht="15" hidden="false" customHeight="true" outlineLevel="0" collapsed="false">
      <c r="A48" s="4" t="s">
        <v>65</v>
      </c>
      <c r="B48" s="4"/>
      <c r="C48" s="4"/>
    </row>
    <row r="49" customFormat="false" ht="15" hidden="false" customHeight="true" outlineLevel="0" collapsed="false">
      <c r="A49" s="1" t="s">
        <v>66</v>
      </c>
      <c r="B49" s="17" t="n">
        <v>0.75</v>
      </c>
    </row>
    <row r="50" customFormat="false" ht="15" hidden="false" customHeight="true" outlineLevel="0" collapsed="false">
      <c r="A50" s="1" t="s">
        <v>67</v>
      </c>
      <c r="B50" s="17" t="n">
        <v>0.1</v>
      </c>
    </row>
    <row r="51" customFormat="false" ht="15" hidden="false" customHeight="true" outlineLevel="0" collapsed="false">
      <c r="A51" s="1" t="s">
        <v>68</v>
      </c>
      <c r="B51" s="17" t="n">
        <v>0.03</v>
      </c>
      <c r="C51" s="1" t="s">
        <v>69</v>
      </c>
    </row>
    <row r="52" customFormat="false" ht="15" hidden="false" customHeight="true" outlineLevel="0" collapsed="false">
      <c r="A52" s="1" t="s">
        <v>70</v>
      </c>
      <c r="B52" s="17" t="n">
        <v>0.08</v>
      </c>
    </row>
    <row r="54" customFormat="false" ht="15" hidden="false" customHeight="true" outlineLevel="0" collapsed="false">
      <c r="A54" s="4" t="s">
        <v>71</v>
      </c>
      <c r="B54" s="4"/>
      <c r="C54" s="4"/>
    </row>
    <row r="55" customFormat="false" ht="15" hidden="false" customHeight="true" outlineLevel="0" collapsed="false">
      <c r="A55" s="1" t="s">
        <v>72</v>
      </c>
      <c r="B55" s="14" t="n">
        <v>35000</v>
      </c>
    </row>
    <row r="56" customFormat="false" ht="15" hidden="false" customHeight="true" outlineLevel="0" collapsed="false">
      <c r="A56" s="1" t="s">
        <v>73</v>
      </c>
      <c r="B56" s="17" t="n">
        <v>0.2</v>
      </c>
    </row>
    <row r="57" customFormat="false" ht="15" hidden="false" customHeight="true" outlineLevel="0" collapsed="false">
      <c r="A57" s="1" t="s">
        <v>74</v>
      </c>
      <c r="B57" s="17" t="n">
        <v>0.7</v>
      </c>
      <c r="C57" s="1" t="s">
        <v>75</v>
      </c>
    </row>
  </sheetData>
  <mergeCells count="11">
    <mergeCell ref="A1:C1"/>
    <mergeCell ref="A2:C2"/>
    <mergeCell ref="A4:C4"/>
    <mergeCell ref="A12:C12"/>
    <mergeCell ref="A18:C18"/>
    <mergeCell ref="A23:C23"/>
    <mergeCell ref="A31:C31"/>
    <mergeCell ref="A37:C37"/>
    <mergeCell ref="A43:C43"/>
    <mergeCell ref="A48:C48"/>
    <mergeCell ref="A54:C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3" min="2" style="1" width="15"/>
    <col collapsed="false" customWidth="true" hidden="false" outlineLevel="0" max="4" min="4" style="1" width="18"/>
    <col collapsed="false" customWidth="true" hidden="false" outlineLevel="0" max="5" min="5" style="1" width="25"/>
  </cols>
  <sheetData>
    <row r="1" customFormat="false" ht="19.5" hidden="false" customHeight="true" outlineLevel="0" collapsed="false">
      <c r="A1" s="2" t="s">
        <v>76</v>
      </c>
      <c r="B1" s="2"/>
      <c r="C1" s="2"/>
      <c r="D1" s="2"/>
      <c r="E1" s="2"/>
    </row>
    <row r="2" customFormat="false" ht="15" hidden="false" customHeight="true" outlineLevel="0" collapsed="false">
      <c r="A2" s="22" t="s">
        <v>77</v>
      </c>
      <c r="B2" s="22"/>
      <c r="C2" s="22"/>
      <c r="D2" s="22"/>
      <c r="E2" s="22"/>
    </row>
    <row r="4" customFormat="false" ht="15" hidden="false" customHeight="true" outlineLevel="0" collapsed="false">
      <c r="A4" s="4" t="s">
        <v>78</v>
      </c>
      <c r="B4" s="4"/>
      <c r="C4" s="4"/>
      <c r="D4" s="4"/>
      <c r="E4" s="4"/>
    </row>
    <row r="5" customFormat="false" ht="15" hidden="false" customHeight="true" outlineLevel="0" collapsed="false">
      <c r="D5" s="23" t="s">
        <v>79</v>
      </c>
      <c r="E5" s="23" t="s">
        <v>80</v>
      </c>
    </row>
    <row r="6" customFormat="false" ht="15" hidden="false" customHeight="true" outlineLevel="0" collapsed="false">
      <c r="A6" s="1" t="s">
        <v>81</v>
      </c>
      <c r="D6" s="24" t="n">
        <f aca="false">Inputs!B28</f>
        <v>0.02</v>
      </c>
      <c r="E6" s="1" t="s">
        <v>82</v>
      </c>
    </row>
    <row r="8" customFormat="false" ht="15" hidden="false" customHeight="true" outlineLevel="0" collapsed="false">
      <c r="A8" s="4" t="s">
        <v>83</v>
      </c>
      <c r="B8" s="4"/>
      <c r="C8" s="4"/>
      <c r="D8" s="4"/>
      <c r="E8" s="4"/>
    </row>
    <row r="9" customFormat="false" ht="15" hidden="false" customHeight="true" outlineLevel="0" collapsed="false">
      <c r="A9" s="1" t="s">
        <v>34</v>
      </c>
      <c r="D9" s="16" t="n">
        <f aca="false">Inputs!B13</f>
        <v>150000</v>
      </c>
    </row>
    <row r="10" customFormat="false" ht="15" hidden="false" customHeight="true" outlineLevel="0" collapsed="false">
      <c r="A10" s="1" t="s">
        <v>84</v>
      </c>
      <c r="D10" s="16" t="n">
        <f aca="false">Inputs!C14+Inputs!B15+Inputs!B16</f>
        <v>5250</v>
      </c>
    </row>
    <row r="11" customFormat="false" ht="15" hidden="false" customHeight="true" outlineLevel="0" collapsed="false">
      <c r="A11" s="1" t="s">
        <v>85</v>
      </c>
      <c r="D11" s="16" t="n">
        <f aca="false">IF(D10=0,0,D10)</f>
        <v>5250</v>
      </c>
      <c r="E11" s="1" t="s">
        <v>86</v>
      </c>
    </row>
    <row r="12" customFormat="false" ht="15" hidden="false" customHeight="true" outlineLevel="0" collapsed="false">
      <c r="A12" s="1" t="s">
        <v>87</v>
      </c>
      <c r="D12" s="16" t="n">
        <f aca="false">(Inputs!B30+Inputs!B31+Inputs!B32+Inputs!B33)*(Inputs!B37/30)</f>
        <v>0</v>
      </c>
      <c r="E12" s="1" t="s">
        <v>88</v>
      </c>
    </row>
    <row r="13" customFormat="false" ht="15" hidden="false" customHeight="true" outlineLevel="0" collapsed="false">
      <c r="A13" s="25" t="s">
        <v>89</v>
      </c>
      <c r="D13" s="19" t="n">
        <f aca="false">SUM(D7:D9)</f>
        <v>150000</v>
      </c>
    </row>
    <row r="14" customFormat="false" ht="15" hidden="false" customHeight="true" outlineLevel="0" collapsed="false">
      <c r="A14" s="25" t="s">
        <v>90</v>
      </c>
      <c r="D14" s="26" t="n">
        <f aca="false">D10</f>
        <v>5250</v>
      </c>
      <c r="E14" s="1" t="s">
        <v>91</v>
      </c>
    </row>
    <row r="16" customFormat="false" ht="15" hidden="false" customHeight="true" outlineLevel="0" collapsed="false">
      <c r="A16" s="4" t="s">
        <v>92</v>
      </c>
      <c r="B16" s="4"/>
      <c r="C16" s="4"/>
      <c r="D16" s="4"/>
      <c r="E16" s="4"/>
    </row>
    <row r="17" customFormat="false" ht="15" hidden="false" customHeight="true" outlineLevel="0" collapsed="false">
      <c r="A17" s="1" t="s">
        <v>93</v>
      </c>
      <c r="D17" s="16" t="n">
        <f aca="false">D6*(Inputs!B40+Inputs!B41)+Inputs!B42</f>
        <v>5.2</v>
      </c>
      <c r="E17" s="1" t="s">
        <v>94</v>
      </c>
    </row>
    <row r="18" customFormat="false" ht="15" hidden="false" customHeight="true" outlineLevel="0" collapsed="false">
      <c r="A18" s="1" t="s">
        <v>95</v>
      </c>
      <c r="D18" s="16" t="n">
        <f aca="false">D6-D13</f>
        <v>-149999.98</v>
      </c>
    </row>
    <row r="19" customFormat="false" ht="15" hidden="false" customHeight="true" outlineLevel="0" collapsed="false">
      <c r="A19" s="27" t="s">
        <v>96</v>
      </c>
      <c r="D19" s="28" t="n">
        <f aca="false">D14-D10</f>
        <v>0</v>
      </c>
    </row>
    <row r="20" customFormat="false" ht="15" hidden="false" customHeight="true" outlineLevel="0" collapsed="false">
      <c r="A20" s="25" t="s">
        <v>97</v>
      </c>
      <c r="D20" s="29" t="n">
        <f aca="false">Inputs!B13</f>
        <v>150000</v>
      </c>
      <c r="E20" s="1" t="s">
        <v>98</v>
      </c>
    </row>
    <row r="22" customFormat="false" ht="15" hidden="false" customHeight="true" outlineLevel="0" collapsed="false">
      <c r="A22" s="4" t="s">
        <v>99</v>
      </c>
      <c r="B22" s="4"/>
      <c r="C22" s="4"/>
      <c r="D22" s="4"/>
      <c r="E22" s="4"/>
    </row>
    <row r="23" customFormat="false" ht="15" hidden="false" customHeight="true" outlineLevel="0" collapsed="false">
      <c r="A23" s="1" t="s">
        <v>100</v>
      </c>
      <c r="D23" s="30" t="s">
        <v>101</v>
      </c>
    </row>
    <row r="24" customFormat="false" ht="15" hidden="false" customHeight="true" outlineLevel="0" collapsed="false">
      <c r="A24" s="1" t="s">
        <v>102</v>
      </c>
      <c r="D24" s="16" t="n">
        <f aca="false">D6*Inputs!B52-D9</f>
        <v>-149999.9984</v>
      </c>
      <c r="E24" s="1" t="s">
        <v>103</v>
      </c>
    </row>
    <row r="25" customFormat="false" ht="15" hidden="false" customHeight="true" outlineLevel="0" collapsed="false">
      <c r="A25" s="1" t="s">
        <v>104</v>
      </c>
      <c r="D25" s="16" t="n">
        <f aca="false">D7</f>
        <v>0</v>
      </c>
    </row>
    <row r="26" customFormat="false" ht="15" hidden="false" customHeight="true" outlineLevel="0" collapsed="false">
      <c r="A26" s="1" t="s">
        <v>105</v>
      </c>
      <c r="D26" s="25" t="n">
        <f aca="false">IF(Inputs!B7=0,0,D9/Inputs!B7)</f>
        <v>83.3333333333333</v>
      </c>
      <c r="E26" s="1" t="s">
        <v>106</v>
      </c>
    </row>
    <row r="27" customFormat="false" ht="15" hidden="false" customHeight="true" outlineLevel="0" collapsed="false">
      <c r="A27" s="1" t="s">
        <v>107</v>
      </c>
      <c r="D27" s="25" t="str">
        <f aca="false">IF(D16&gt;=0.25,"EXCELLENT",IF(D16&gt;=0.2,"GOOD",IF(D16&gt;=0.15,"ACCEPTABLE","WEAK")))</f>
        <v>WEAK</v>
      </c>
      <c r="E27" s="1" t="s">
        <v>108</v>
      </c>
    </row>
    <row r="29" customFormat="false" ht="15" hidden="false" customHeight="true" outlineLevel="0" collapsed="false">
      <c r="A29" s="4" t="s">
        <v>109</v>
      </c>
      <c r="B29" s="4"/>
      <c r="C29" s="4"/>
      <c r="D29" s="4"/>
      <c r="E29" s="4"/>
    </row>
    <row r="30" customFormat="false" ht="15" hidden="false" customHeight="true" outlineLevel="0" collapsed="false">
      <c r="A30" s="1" t="s">
        <v>110</v>
      </c>
      <c r="D30" s="31" t="n">
        <f aca="false">D7/Inputs!B7</f>
        <v>0</v>
      </c>
    </row>
    <row r="31" customFormat="false" ht="15" hidden="false" customHeight="true" outlineLevel="0" collapsed="false">
      <c r="A31" s="1" t="s">
        <v>111</v>
      </c>
      <c r="D31" s="31" t="n">
        <f aca="false">D6/Inputs!B7</f>
        <v>1.11111111111111E-005</v>
      </c>
    </row>
    <row r="32" customFormat="false" ht="15" hidden="false" customHeight="true" outlineLevel="0" collapsed="false">
      <c r="A32" s="1" t="s">
        <v>112</v>
      </c>
      <c r="D32" s="31" t="n">
        <f aca="false">D9/Inputs!B7</f>
        <v>83.3333333333333</v>
      </c>
    </row>
    <row r="33" customFormat="false" ht="15" hidden="false" customHeight="true" outlineLevel="0" collapsed="false">
      <c r="A33" s="1" t="s">
        <v>113</v>
      </c>
      <c r="D33" s="31" t="n">
        <f aca="false">D15/Inputs!B7</f>
        <v>0</v>
      </c>
    </row>
    <row r="34" customFormat="false" ht="15" hidden="false" customHeight="true" outlineLevel="0" collapsed="false">
      <c r="A34" s="1" t="s">
        <v>114</v>
      </c>
      <c r="D34" s="32" t="n">
        <f aca="false">D15/D6</f>
        <v>0</v>
      </c>
    </row>
    <row r="35" customFormat="false" ht="15" hidden="false" customHeight="true" outlineLevel="0" collapsed="false">
      <c r="A35" s="1" t="s">
        <v>115</v>
      </c>
      <c r="B35" s="1" t="n">
        <f aca="false">IF(D16="",0,D16)</f>
        <v>0</v>
      </c>
      <c r="D35" s="16" t="n">
        <f aca="false">IFERROR(D16,0)</f>
        <v>0</v>
      </c>
    </row>
    <row r="36" customFormat="false" ht="15" hidden="false" customHeight="true" outlineLevel="0" collapsed="false">
      <c r="A36" s="1" t="s">
        <v>116</v>
      </c>
      <c r="D36" s="10" t="n">
        <f aca="false">Inputs!B37</f>
        <v>0</v>
      </c>
      <c r="E36" s="1" t="s">
        <v>19</v>
      </c>
    </row>
    <row r="38" customFormat="false" ht="15" hidden="false" customHeight="true" outlineLevel="0" collapsed="false">
      <c r="A38" s="4" t="s">
        <v>117</v>
      </c>
      <c r="B38" s="4"/>
      <c r="C38" s="4"/>
      <c r="D38" s="4"/>
      <c r="E38" s="4"/>
    </row>
    <row r="39" customFormat="false" ht="15" hidden="false" customHeight="true" outlineLevel="0" collapsed="false">
      <c r="A39" s="23" t="s">
        <v>118</v>
      </c>
      <c r="B39" s="23" t="s">
        <v>119</v>
      </c>
      <c r="C39" s="23" t="s">
        <v>120</v>
      </c>
      <c r="D39" s="23" t="s">
        <v>121</v>
      </c>
    </row>
    <row r="40" customFormat="false" ht="15" hidden="false" customHeight="true" outlineLevel="0" collapsed="false">
      <c r="A40" s="1" t="s">
        <v>96</v>
      </c>
      <c r="B40" s="16" t="n">
        <f aca="false">D15</f>
        <v>0</v>
      </c>
      <c r="C40" s="16" t="n">
        <v>50000</v>
      </c>
      <c r="D40" s="1" t="str">
        <f aca="false">IF(B34&gt;=C34,"Above ✓","Below ⚠")</f>
        <v>Above ✓</v>
      </c>
    </row>
    <row r="41" customFormat="false" ht="15" hidden="false" customHeight="true" outlineLevel="0" collapsed="false">
      <c r="A41" s="1" t="s">
        <v>122</v>
      </c>
      <c r="B41" s="32" t="n">
        <f aca="false">D16</f>
        <v>0</v>
      </c>
      <c r="C41" s="32" t="n">
        <v>0.2</v>
      </c>
      <c r="D41" s="1" t="str">
        <f aca="false">IF(B35&gt;=C35,"Above ✓","Below ⚠")</f>
        <v>Above ✓</v>
      </c>
    </row>
    <row r="42" customFormat="false" ht="15" hidden="false" customHeight="true" outlineLevel="0" collapsed="false">
      <c r="A42" s="1" t="s">
        <v>123</v>
      </c>
      <c r="B42" s="32" t="n">
        <f aca="false">D28</f>
        <v>0</v>
      </c>
      <c r="C42" s="32" t="n">
        <v>0.15</v>
      </c>
      <c r="D42" s="1" t="str">
        <f aca="false">IF(B36&gt;=C36,"Above ✓","Below ⚠")</f>
        <v>Above ✓</v>
      </c>
    </row>
    <row r="44" customFormat="false" ht="17.25" hidden="false" customHeight="true" outlineLevel="0" collapsed="false">
      <c r="A44" s="33" t="s">
        <v>124</v>
      </c>
      <c r="B44" s="33"/>
      <c r="C44" s="33"/>
      <c r="D44" s="33"/>
      <c r="E44" s="33"/>
    </row>
    <row r="45" customFormat="false" ht="15" hidden="false" customHeight="true" outlineLevel="0" collapsed="false">
      <c r="A45" s="34" t="str">
        <f aca="false">IF(AND(D21="PASS ✓",D16&gt;=Inputs!B51),"PROCEED WITH DEAL - Meets 70% rule and ROI targets","CAUTION - Review assumptions carefully")</f>
        <v>CAUTION - Review assumptions carefully</v>
      </c>
      <c r="B45" s="34"/>
      <c r="C45" s="34"/>
      <c r="D45" s="34"/>
      <c r="E45" s="34"/>
    </row>
  </sheetData>
  <mergeCells count="10">
    <mergeCell ref="A1:E1"/>
    <mergeCell ref="A2:E2"/>
    <mergeCell ref="A4:E4"/>
    <mergeCell ref="A8:E8"/>
    <mergeCell ref="A16:E16"/>
    <mergeCell ref="A22:E22"/>
    <mergeCell ref="A29:E29"/>
    <mergeCell ref="A38:E38"/>
    <mergeCell ref="A44:E44"/>
    <mergeCell ref="A45:E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5"/>
    <col collapsed="false" customWidth="true" hidden="false" outlineLevel="0" max="4" min="4" style="1" width="25"/>
  </cols>
  <sheetData>
    <row r="1" customFormat="false" ht="19.5" hidden="false" customHeight="true" outlineLevel="0" collapsed="false">
      <c r="A1" s="2" t="s">
        <v>125</v>
      </c>
      <c r="B1" s="2"/>
      <c r="C1" s="2"/>
      <c r="D1" s="2"/>
    </row>
    <row r="2" customFormat="false" ht="15" hidden="false" customHeight="true" outlineLevel="0" collapsed="false">
      <c r="A2" s="22" t="s">
        <v>126</v>
      </c>
      <c r="B2" s="22"/>
      <c r="C2" s="22"/>
      <c r="D2" s="22"/>
    </row>
    <row r="4" customFormat="false" ht="15" hidden="false" customHeight="true" outlineLevel="0" collapsed="false">
      <c r="A4" s="35" t="s">
        <v>127</v>
      </c>
      <c r="B4" s="35" t="s">
        <v>128</v>
      </c>
      <c r="C4" s="35" t="s">
        <v>129</v>
      </c>
      <c r="D4" s="35" t="s">
        <v>130</v>
      </c>
    </row>
    <row r="5" customFormat="false" ht="15" hidden="false" customHeight="true" outlineLevel="0" collapsed="false">
      <c r="A5" s="4" t="s">
        <v>131</v>
      </c>
      <c r="B5" s="4"/>
      <c r="C5" s="4"/>
      <c r="D5" s="4"/>
    </row>
    <row r="6" customFormat="false" ht="15" hidden="false" customHeight="true" outlineLevel="0" collapsed="false">
      <c r="B6" s="1" t="s">
        <v>132</v>
      </c>
      <c r="C6" s="14" t="n">
        <v>4500</v>
      </c>
      <c r="D6" s="1" t="s">
        <v>133</v>
      </c>
    </row>
    <row r="7" customFormat="false" ht="15" hidden="false" customHeight="true" outlineLevel="0" collapsed="false">
      <c r="B7" s="1" t="s">
        <v>134</v>
      </c>
      <c r="C7" s="14" t="n">
        <v>2500</v>
      </c>
      <c r="D7" s="1" t="s">
        <v>135</v>
      </c>
    </row>
    <row r="8" customFormat="false" ht="15" hidden="false" customHeight="true" outlineLevel="0" collapsed="false">
      <c r="B8" s="1" t="s">
        <v>136</v>
      </c>
      <c r="C8" s="14" t="n">
        <v>2800</v>
      </c>
      <c r="D8" s="1" t="s">
        <v>137</v>
      </c>
    </row>
    <row r="9" customFormat="false" ht="15" hidden="false" customHeight="true" outlineLevel="0" collapsed="false">
      <c r="B9" s="1" t="s">
        <v>138</v>
      </c>
      <c r="C9" s="14" t="n">
        <v>600</v>
      </c>
    </row>
    <row r="10" customFormat="false" ht="15" hidden="false" customHeight="true" outlineLevel="0" collapsed="false">
      <c r="B10" s="1" t="s">
        <v>139</v>
      </c>
      <c r="C10" s="14" t="n">
        <v>800</v>
      </c>
      <c r="D10" s="1" t="s">
        <v>140</v>
      </c>
    </row>
    <row r="11" customFormat="false" ht="15" hidden="false" customHeight="true" outlineLevel="0" collapsed="false">
      <c r="B11" s="1" t="s">
        <v>141</v>
      </c>
      <c r="C11" s="14" t="n">
        <v>400</v>
      </c>
    </row>
    <row r="12" customFormat="false" ht="15" hidden="false" customHeight="true" outlineLevel="0" collapsed="false">
      <c r="B12" s="25" t="s">
        <v>142</v>
      </c>
      <c r="C12" s="19" t="n">
        <f aca="false">SUM(C6:C11)</f>
        <v>11600</v>
      </c>
    </row>
    <row r="14" customFormat="false" ht="15" hidden="false" customHeight="true" outlineLevel="0" collapsed="false">
      <c r="A14" s="4" t="s">
        <v>143</v>
      </c>
      <c r="B14" s="4"/>
      <c r="C14" s="4"/>
      <c r="D14" s="4"/>
    </row>
    <row r="15" customFormat="false" ht="15" hidden="false" customHeight="true" outlineLevel="0" collapsed="false">
      <c r="B15" s="1" t="s">
        <v>144</v>
      </c>
      <c r="C15" s="14" t="n">
        <v>1200</v>
      </c>
      <c r="D15" s="1" t="s">
        <v>145</v>
      </c>
    </row>
    <row r="16" customFormat="false" ht="15" hidden="false" customHeight="true" outlineLevel="0" collapsed="false">
      <c r="B16" s="1" t="s">
        <v>146</v>
      </c>
      <c r="C16" s="14" t="n">
        <v>400</v>
      </c>
      <c r="D16" s="1" t="s">
        <v>145</v>
      </c>
    </row>
    <row r="17" customFormat="false" ht="15" hidden="false" customHeight="true" outlineLevel="0" collapsed="false">
      <c r="B17" s="1" t="s">
        <v>147</v>
      </c>
      <c r="C17" s="14" t="n">
        <v>1800</v>
      </c>
      <c r="D17" s="1" t="s">
        <v>148</v>
      </c>
    </row>
    <row r="18" customFormat="false" ht="15" hidden="false" customHeight="true" outlineLevel="0" collapsed="false">
      <c r="B18" s="1" t="s">
        <v>149</v>
      </c>
      <c r="C18" s="14" t="n">
        <v>2000</v>
      </c>
    </row>
    <row r="19" customFormat="false" ht="15" hidden="false" customHeight="true" outlineLevel="0" collapsed="false">
      <c r="B19" s="1" t="s">
        <v>150</v>
      </c>
      <c r="C19" s="14" t="n">
        <v>600</v>
      </c>
    </row>
    <row r="20" customFormat="false" ht="15" hidden="false" customHeight="true" outlineLevel="0" collapsed="false">
      <c r="B20" s="1" t="s">
        <v>151</v>
      </c>
      <c r="C20" s="14" t="n">
        <v>500</v>
      </c>
    </row>
    <row r="21" customFormat="false" ht="15" hidden="false" customHeight="true" outlineLevel="0" collapsed="false">
      <c r="B21" s="25" t="s">
        <v>152</v>
      </c>
      <c r="C21" s="19" t="n">
        <f aca="false">SUM(C15:C20)</f>
        <v>6500</v>
      </c>
    </row>
    <row r="23" customFormat="false" ht="15" hidden="false" customHeight="true" outlineLevel="0" collapsed="false">
      <c r="A23" s="4" t="s">
        <v>153</v>
      </c>
      <c r="B23" s="4"/>
      <c r="C23" s="4"/>
      <c r="D23" s="4"/>
    </row>
    <row r="24" customFormat="false" ht="15" hidden="false" customHeight="true" outlineLevel="0" collapsed="false">
      <c r="B24" s="1" t="s">
        <v>154</v>
      </c>
      <c r="C24" s="14" t="n">
        <v>4500</v>
      </c>
      <c r="D24" s="1" t="s">
        <v>155</v>
      </c>
    </row>
    <row r="25" customFormat="false" ht="15" hidden="false" customHeight="true" outlineLevel="0" collapsed="false">
      <c r="B25" s="1" t="s">
        <v>156</v>
      </c>
      <c r="C25" s="14" t="n">
        <v>2000</v>
      </c>
      <c r="D25" s="1" t="s">
        <v>157</v>
      </c>
    </row>
    <row r="26" customFormat="false" ht="15" hidden="false" customHeight="true" outlineLevel="0" collapsed="false">
      <c r="B26" s="1" t="s">
        <v>158</v>
      </c>
      <c r="C26" s="14" t="n">
        <v>1500</v>
      </c>
    </row>
    <row r="27" customFormat="false" ht="15" hidden="false" customHeight="true" outlineLevel="0" collapsed="false">
      <c r="B27" s="25" t="s">
        <v>159</v>
      </c>
      <c r="C27" s="19" t="n">
        <f aca="false">SUM(C24:C26)</f>
        <v>8000</v>
      </c>
    </row>
    <row r="29" customFormat="false" ht="15" hidden="false" customHeight="true" outlineLevel="0" collapsed="false">
      <c r="A29" s="4" t="s">
        <v>160</v>
      </c>
      <c r="B29" s="4"/>
      <c r="C29" s="4"/>
      <c r="D29" s="4"/>
    </row>
    <row r="30" customFormat="false" ht="15" hidden="false" customHeight="true" outlineLevel="0" collapsed="false">
      <c r="B30" s="1" t="s">
        <v>161</v>
      </c>
      <c r="C30" s="14" t="n">
        <v>3500</v>
      </c>
      <c r="D30" s="1" t="s">
        <v>162</v>
      </c>
    </row>
    <row r="31" customFormat="false" ht="15" hidden="false" customHeight="true" outlineLevel="0" collapsed="false">
      <c r="B31" s="1" t="s">
        <v>163</v>
      </c>
      <c r="C31" s="14" t="n">
        <v>2500</v>
      </c>
    </row>
    <row r="32" customFormat="false" ht="15" hidden="false" customHeight="true" outlineLevel="0" collapsed="false">
      <c r="B32" s="1" t="s">
        <v>164</v>
      </c>
      <c r="C32" s="14" t="n">
        <v>1200</v>
      </c>
    </row>
    <row r="33" customFormat="false" ht="15" hidden="false" customHeight="true" outlineLevel="0" collapsed="false">
      <c r="B33" s="25" t="s">
        <v>165</v>
      </c>
      <c r="C33" s="19" t="n">
        <f aca="false">SUM(C30:C32)</f>
        <v>7200</v>
      </c>
    </row>
    <row r="35" customFormat="false" ht="15" hidden="false" customHeight="true" outlineLevel="0" collapsed="false">
      <c r="A35" s="4" t="s">
        <v>166</v>
      </c>
      <c r="B35" s="4"/>
      <c r="C35" s="4"/>
      <c r="D35" s="4"/>
    </row>
    <row r="36" customFormat="false" ht="15" hidden="false" customHeight="true" outlineLevel="0" collapsed="false">
      <c r="B36" s="1" t="s">
        <v>167</v>
      </c>
      <c r="C36" s="14" t="n">
        <v>3000</v>
      </c>
      <c r="D36" s="1" t="s">
        <v>168</v>
      </c>
    </row>
    <row r="37" customFormat="false" ht="15" hidden="false" customHeight="true" outlineLevel="0" collapsed="false">
      <c r="B37" s="1" t="s">
        <v>169</v>
      </c>
      <c r="C37" s="14" t="n">
        <v>1500</v>
      </c>
    </row>
    <row r="38" customFormat="false" ht="15" hidden="false" customHeight="true" outlineLevel="0" collapsed="false">
      <c r="B38" s="1" t="s">
        <v>170</v>
      </c>
      <c r="C38" s="14" t="n">
        <v>2000</v>
      </c>
    </row>
    <row r="39" customFormat="false" ht="15" hidden="false" customHeight="true" outlineLevel="0" collapsed="false">
      <c r="B39" s="1" t="s">
        <v>171</v>
      </c>
      <c r="C39" s="14" t="n">
        <v>1200</v>
      </c>
    </row>
    <row r="40" customFormat="false" ht="15" hidden="false" customHeight="true" outlineLevel="0" collapsed="false">
      <c r="B40" s="25" t="s">
        <v>172</v>
      </c>
      <c r="C40" s="19" t="n">
        <f aca="false">SUM(C36:C39)</f>
        <v>7700</v>
      </c>
    </row>
    <row r="42" customFormat="false" ht="15" hidden="false" customHeight="true" outlineLevel="0" collapsed="false">
      <c r="A42" s="4" t="s">
        <v>173</v>
      </c>
      <c r="B42" s="4"/>
      <c r="C42" s="4"/>
      <c r="D42" s="4"/>
    </row>
    <row r="43" customFormat="false" ht="15" hidden="false" customHeight="true" outlineLevel="0" collapsed="false">
      <c r="B43" s="1" t="s">
        <v>174</v>
      </c>
      <c r="C43" s="14" t="n">
        <v>2000</v>
      </c>
      <c r="D43" s="1" t="s">
        <v>175</v>
      </c>
    </row>
    <row r="44" customFormat="false" ht="15" hidden="false" customHeight="true" outlineLevel="0" collapsed="false">
      <c r="B44" s="1" t="s">
        <v>176</v>
      </c>
      <c r="C44" s="14" t="n">
        <v>1500</v>
      </c>
    </row>
    <row r="45" customFormat="false" ht="15" hidden="false" customHeight="true" outlineLevel="0" collapsed="false">
      <c r="B45" s="1" t="s">
        <v>177</v>
      </c>
      <c r="C45" s="14" t="n">
        <v>800</v>
      </c>
    </row>
    <row r="46" customFormat="false" ht="15" hidden="false" customHeight="true" outlineLevel="0" collapsed="false">
      <c r="B46" s="1" t="s">
        <v>178</v>
      </c>
      <c r="C46" s="14" t="n">
        <v>0</v>
      </c>
    </row>
    <row r="47" customFormat="false" ht="15" hidden="false" customHeight="true" outlineLevel="0" collapsed="false">
      <c r="B47" s="25" t="s">
        <v>179</v>
      </c>
      <c r="C47" s="19" t="n">
        <f aca="false">SUM(C43:C46)</f>
        <v>4300</v>
      </c>
    </row>
    <row r="49" customFormat="false" ht="15" hidden="false" customHeight="true" outlineLevel="0" collapsed="false">
      <c r="A49" s="4" t="s">
        <v>180</v>
      </c>
      <c r="B49" s="4"/>
      <c r="C49" s="4"/>
      <c r="D49" s="4"/>
    </row>
    <row r="50" customFormat="false" ht="15" hidden="false" customHeight="true" outlineLevel="0" collapsed="false">
      <c r="B50" s="1" t="s">
        <v>181</v>
      </c>
      <c r="C50" s="14" t="n">
        <v>800</v>
      </c>
    </row>
    <row r="51" customFormat="false" ht="15" hidden="false" customHeight="true" outlineLevel="0" collapsed="false">
      <c r="B51" s="1" t="s">
        <v>182</v>
      </c>
      <c r="C51" s="14" t="n">
        <v>600</v>
      </c>
    </row>
    <row r="52" customFormat="false" ht="15" hidden="false" customHeight="true" outlineLevel="0" collapsed="false">
      <c r="B52" s="1" t="s">
        <v>183</v>
      </c>
      <c r="C52" s="14" t="n">
        <v>0</v>
      </c>
    </row>
    <row r="53" customFormat="false" ht="15" hidden="false" customHeight="true" outlineLevel="0" collapsed="false">
      <c r="B53" s="25" t="s">
        <v>184</v>
      </c>
      <c r="C53" s="19" t="n">
        <f aca="false">SUM(C49:C51)</f>
        <v>1400</v>
      </c>
    </row>
    <row r="55" customFormat="false" ht="15" hidden="false" customHeight="true" outlineLevel="0" collapsed="false">
      <c r="A55" s="27" t="s">
        <v>185</v>
      </c>
      <c r="C55" s="28" t="n">
        <f aca="false">C12+C21+C27+C33+C40+C47+C52</f>
        <v>45300</v>
      </c>
    </row>
    <row r="56" customFormat="false" ht="15" hidden="false" customHeight="true" outlineLevel="0" collapsed="false">
      <c r="A56" s="1" t="s">
        <v>186</v>
      </c>
      <c r="C56" s="16" t="n">
        <f aca="false">C54*0.1</f>
        <v>0</v>
      </c>
    </row>
    <row r="57" customFormat="false" ht="17.25" hidden="false" customHeight="true" outlineLevel="0" collapsed="false">
      <c r="A57" s="36" t="s">
        <v>187</v>
      </c>
      <c r="C57" s="37" t="n">
        <f aca="false">C54+C55</f>
        <v>45300</v>
      </c>
    </row>
    <row r="59" customFormat="false" ht="15" hidden="false" customHeight="true" outlineLevel="0" collapsed="false">
      <c r="A59" s="1" t="s">
        <v>188</v>
      </c>
      <c r="C59" s="31" t="n">
        <f aca="false">C56/Inputs!B7</f>
        <v>0</v>
      </c>
    </row>
  </sheetData>
  <mergeCells count="9">
    <mergeCell ref="A1:D1"/>
    <mergeCell ref="A2:D2"/>
    <mergeCell ref="A5:D5"/>
    <mergeCell ref="A14:D14"/>
    <mergeCell ref="A23:D23"/>
    <mergeCell ref="A29:D29"/>
    <mergeCell ref="A35:D35"/>
    <mergeCell ref="A42:D42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7" min="2" style="1" width="15"/>
    <col collapsed="false" customWidth="true" hidden="false" outlineLevel="0" max="8" min="8" style="1" width="25"/>
  </cols>
  <sheetData>
    <row r="1" customFormat="false" ht="19.5" hidden="false" customHeight="true" outlineLevel="0" collapsed="false">
      <c r="A1" s="2" t="s">
        <v>189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22" t="s">
        <v>190</v>
      </c>
      <c r="B2" s="22"/>
      <c r="C2" s="22"/>
      <c r="D2" s="22"/>
      <c r="E2" s="22"/>
      <c r="F2" s="22"/>
      <c r="G2" s="22"/>
      <c r="H2" s="22"/>
    </row>
    <row r="4" customFormat="false" ht="15" hidden="false" customHeight="true" outlineLevel="0" collapsed="false">
      <c r="A4" s="35" t="s">
        <v>191</v>
      </c>
      <c r="B4" s="35" t="s">
        <v>192</v>
      </c>
      <c r="C4" s="35" t="s">
        <v>193</v>
      </c>
      <c r="D4" s="35" t="s">
        <v>194</v>
      </c>
      <c r="E4" s="35" t="s">
        <v>195</v>
      </c>
      <c r="F4" s="35" t="s">
        <v>196</v>
      </c>
      <c r="G4" s="35" t="s">
        <v>197</v>
      </c>
      <c r="H4" s="35" t="s">
        <v>130</v>
      </c>
    </row>
    <row r="5" customFormat="false" ht="15" hidden="false" customHeight="true" outlineLevel="0" collapsed="false">
      <c r="A5" s="38" t="n">
        <v>0</v>
      </c>
      <c r="B5" s="1" t="s">
        <v>198</v>
      </c>
      <c r="C5" s="16" t="n">
        <f aca="false">Inputs!B13+Inputs!C14+Inputs!B15+Inputs!B16</f>
        <v>155250</v>
      </c>
      <c r="D5" s="16" t="n">
        <v>0</v>
      </c>
      <c r="E5" s="16" t="n">
        <f aca="false">-C5</f>
        <v>-155250</v>
      </c>
      <c r="F5" s="16" t="n">
        <f aca="false">E5</f>
        <v>-155250</v>
      </c>
      <c r="G5" s="16" t="n">
        <f aca="false">F5</f>
        <v>-155250</v>
      </c>
      <c r="H5" s="1" t="s">
        <v>199</v>
      </c>
    </row>
    <row r="6" customFormat="false" ht="15" hidden="false" customHeight="true" outlineLevel="0" collapsed="false">
      <c r="A6" s="38" t="n">
        <v>1</v>
      </c>
      <c r="B6" s="1" t="s">
        <v>200</v>
      </c>
      <c r="C6" s="16" t="n">
        <f aca="false">('Renovation Budget'!C56/3)+(Inputs!B30+Inputs!B31+Inputs!B32+Inputs!B33)</f>
        <v>400</v>
      </c>
      <c r="D6" s="16" t="n">
        <v>0</v>
      </c>
      <c r="E6" s="16" t="n">
        <f aca="false">-C6</f>
        <v>-400</v>
      </c>
      <c r="F6" s="16" t="n">
        <f aca="false">F5+E6</f>
        <v>-155650</v>
      </c>
      <c r="G6" s="16" t="n">
        <f aca="false">F6</f>
        <v>-155650</v>
      </c>
      <c r="H6" s="1" t="s">
        <v>201</v>
      </c>
    </row>
    <row r="7" customFormat="false" ht="15" hidden="false" customHeight="true" outlineLevel="0" collapsed="false">
      <c r="A7" s="38" t="n">
        <v>2</v>
      </c>
      <c r="B7" s="1" t="s">
        <v>200</v>
      </c>
      <c r="C7" s="16" t="n">
        <f aca="false">('Renovation Budget'!C56/3)+(Inputs!B30+Inputs!B31+Inputs!B32+Inputs!B33)</f>
        <v>400</v>
      </c>
      <c r="D7" s="16" t="n">
        <v>0</v>
      </c>
      <c r="E7" s="16" t="n">
        <f aca="false">-C7</f>
        <v>-400</v>
      </c>
      <c r="F7" s="16" t="n">
        <f aca="false">F6+E7</f>
        <v>-156050</v>
      </c>
      <c r="G7" s="16" t="n">
        <f aca="false">F7</f>
        <v>-156050</v>
      </c>
      <c r="H7" s="1" t="s">
        <v>201</v>
      </c>
    </row>
    <row r="8" customFormat="false" ht="15" hidden="false" customHeight="true" outlineLevel="0" collapsed="false">
      <c r="A8" s="38" t="n">
        <v>3</v>
      </c>
      <c r="B8" s="1" t="s">
        <v>200</v>
      </c>
      <c r="C8" s="16" t="n">
        <f aca="false">('Renovation Budget'!C56/3)+(Inputs!B30+Inputs!B31+Inputs!B32+Inputs!B33)</f>
        <v>400</v>
      </c>
      <c r="D8" s="16" t="n">
        <v>0</v>
      </c>
      <c r="E8" s="16" t="n">
        <f aca="false">-C8</f>
        <v>-400</v>
      </c>
      <c r="F8" s="16" t="n">
        <f aca="false">F7+E8</f>
        <v>-156450</v>
      </c>
      <c r="G8" s="16" t="n">
        <f aca="false">F8</f>
        <v>-156450</v>
      </c>
      <c r="H8" s="1" t="s">
        <v>202</v>
      </c>
    </row>
    <row r="9" customFormat="false" ht="15" hidden="false" customHeight="true" outlineLevel="0" collapsed="false">
      <c r="A9" s="38" t="n">
        <v>4</v>
      </c>
      <c r="B9" s="1" t="s">
        <v>203</v>
      </c>
      <c r="C9" s="16" t="n">
        <f aca="false">(Inputs!B30+Inputs!B31+Inputs!B32+Inputs!B33)+Inputs!B42</f>
        <v>400</v>
      </c>
      <c r="D9" s="16" t="n">
        <v>0</v>
      </c>
      <c r="E9" s="16" t="n">
        <f aca="false">-C9</f>
        <v>-400</v>
      </c>
      <c r="F9" s="16" t="n">
        <f aca="false">F8+E9</f>
        <v>-156850</v>
      </c>
      <c r="G9" s="16" t="n">
        <f aca="false">F9</f>
        <v>-156850</v>
      </c>
      <c r="H9" s="1" t="s">
        <v>204</v>
      </c>
    </row>
    <row r="10" customFormat="false" ht="15" hidden="false" customHeight="true" outlineLevel="0" collapsed="false">
      <c r="A10" s="38" t="n">
        <v>5</v>
      </c>
      <c r="B10" s="1" t="s">
        <v>203</v>
      </c>
      <c r="C10" s="16" t="n">
        <f aca="false">Inputs!B30+Inputs!B31+Inputs!B32+Inputs!B33</f>
        <v>400</v>
      </c>
      <c r="D10" s="16" t="n">
        <v>0</v>
      </c>
      <c r="E10" s="16" t="n">
        <f aca="false">-C10</f>
        <v>-400</v>
      </c>
      <c r="F10" s="16" t="n">
        <f aca="false">F9+E10</f>
        <v>-157250</v>
      </c>
      <c r="G10" s="16" t="n">
        <f aca="false">F10</f>
        <v>-157250</v>
      </c>
      <c r="H10" s="1" t="s">
        <v>205</v>
      </c>
    </row>
    <row r="11" customFormat="false" ht="15" hidden="false" customHeight="true" outlineLevel="0" collapsed="false">
      <c r="A11" s="38" t="n">
        <v>6</v>
      </c>
      <c r="B11" s="25" t="s">
        <v>206</v>
      </c>
      <c r="C11" s="16" t="n">
        <f aca="false">'Deal Analysis'!D13</f>
        <v>150000</v>
      </c>
      <c r="D11" s="16" t="n">
        <f aca="false">Inputs!B28</f>
        <v>0.02</v>
      </c>
      <c r="E11" s="39" t="n">
        <f aca="false">D11-C11</f>
        <v>-149999.98</v>
      </c>
      <c r="F11" s="40" t="n">
        <f aca="false">F10+E11</f>
        <v>-307249.98</v>
      </c>
      <c r="G11" s="40" t="n">
        <f aca="false">F11</f>
        <v>-307249.98</v>
      </c>
      <c r="H11" s="1" t="s">
        <v>207</v>
      </c>
    </row>
    <row r="14" customFormat="false" ht="15" hidden="false" customHeight="true" outlineLevel="0" collapsed="false">
      <c r="A14" s="4" t="s">
        <v>208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1" t="s">
        <v>209</v>
      </c>
      <c r="B15" s="16" t="n">
        <f aca="false">SUM(C5:C11)</f>
        <v>307250</v>
      </c>
    </row>
    <row r="16" customFormat="false" ht="15" hidden="false" customHeight="true" outlineLevel="0" collapsed="false">
      <c r="A16" s="1" t="s">
        <v>210</v>
      </c>
      <c r="B16" s="16" t="n">
        <f aca="false">SUM(D5:D11)</f>
        <v>0.02</v>
      </c>
    </row>
    <row r="17" customFormat="false" ht="15" hidden="false" customHeight="true" outlineLevel="0" collapsed="false">
      <c r="A17" s="25" t="s">
        <v>211</v>
      </c>
      <c r="B17" s="40" t="n">
        <f aca="false">B16-B15</f>
        <v>-307249.98</v>
      </c>
    </row>
    <row r="19" customFormat="false" ht="15" hidden="false" customHeight="true" outlineLevel="0" collapsed="false">
      <c r="A19" s="1" t="s">
        <v>212</v>
      </c>
      <c r="B19" s="16" t="n">
        <f aca="false">MIN(F5:F11)</f>
        <v>-307249.98</v>
      </c>
      <c r="C19" s="1" t="s">
        <v>213</v>
      </c>
    </row>
    <row r="20" customFormat="false" ht="15" hidden="false" customHeight="true" outlineLevel="0" collapsed="false">
      <c r="A20" s="1" t="s">
        <v>214</v>
      </c>
      <c r="B20" s="1" t="n">
        <v>6</v>
      </c>
      <c r="C20" s="1" t="s">
        <v>215</v>
      </c>
    </row>
    <row r="21" customFormat="false" ht="15" hidden="false" customHeight="true" outlineLevel="0" collapsed="false">
      <c r="A21" s="1" t="s">
        <v>216</v>
      </c>
      <c r="B21" s="32" t="n">
        <f aca="false">(B17/ABS(B19))*(12/6)</f>
        <v>-2</v>
      </c>
      <c r="C21" s="1" t="s">
        <v>217</v>
      </c>
    </row>
    <row r="24" customFormat="false" ht="15" hidden="false" customHeight="true" outlineLevel="0" collapsed="false">
      <c r="A24" s="4" t="s">
        <v>218</v>
      </c>
      <c r="B24" s="4"/>
      <c r="C24" s="4"/>
      <c r="D24" s="4"/>
    </row>
    <row r="25" customFormat="false" ht="15" hidden="false" customHeight="true" outlineLevel="0" collapsed="false">
      <c r="A25" s="35" t="s">
        <v>192</v>
      </c>
      <c r="B25" s="35" t="s">
        <v>219</v>
      </c>
      <c r="C25" s="35" t="s">
        <v>220</v>
      </c>
      <c r="D25" s="35" t="s">
        <v>221</v>
      </c>
    </row>
    <row r="26" customFormat="false" ht="15" hidden="false" customHeight="true" outlineLevel="0" collapsed="false">
      <c r="A26" s="1" t="s">
        <v>198</v>
      </c>
      <c r="B26" s="1" t="s">
        <v>222</v>
      </c>
      <c r="C26" s="16" t="n">
        <f aca="false">C5</f>
        <v>155250</v>
      </c>
      <c r="D26" s="32" t="n">
        <f aca="false">C26/B15</f>
        <v>0.505288852725793</v>
      </c>
    </row>
    <row r="27" customFormat="false" ht="15" hidden="false" customHeight="true" outlineLevel="0" collapsed="false">
      <c r="A27" s="1" t="s">
        <v>200</v>
      </c>
      <c r="B27" s="1" t="s">
        <v>223</v>
      </c>
      <c r="C27" s="16" t="n">
        <f aca="false">SUM(C6:C8)</f>
        <v>1200</v>
      </c>
      <c r="D27" s="32" t="n">
        <f aca="false">C27/B15</f>
        <v>0.00390561432058584</v>
      </c>
    </row>
    <row r="28" customFormat="false" ht="15" hidden="false" customHeight="true" outlineLevel="0" collapsed="false">
      <c r="A28" s="1" t="s">
        <v>203</v>
      </c>
      <c r="B28" s="1" t="s">
        <v>224</v>
      </c>
      <c r="C28" s="16" t="n">
        <f aca="false">SUM(C9:C10)</f>
        <v>800</v>
      </c>
      <c r="D28" s="32" t="n">
        <f aca="false">C28/B15</f>
        <v>0.00260374288039056</v>
      </c>
    </row>
    <row r="29" customFormat="false" ht="15" hidden="false" customHeight="true" outlineLevel="0" collapsed="false">
      <c r="A29" s="1" t="s">
        <v>225</v>
      </c>
      <c r="B29" s="1" t="s">
        <v>226</v>
      </c>
      <c r="C29" s="16" t="n">
        <f aca="false">C11</f>
        <v>150000</v>
      </c>
      <c r="D29" s="32" t="n">
        <f aca="false">C28/B15</f>
        <v>0.00260374288039056</v>
      </c>
    </row>
    <row r="30" customFormat="false" ht="15" hidden="false" customHeight="true" outlineLevel="0" collapsed="false">
      <c r="A30" s="25" t="s">
        <v>227</v>
      </c>
      <c r="C30" s="26" t="n">
        <f aca="false">SUM(C25:C28)</f>
        <v>157250</v>
      </c>
      <c r="D30" s="41" t="n">
        <f aca="false">SUM(D25:D28)</f>
        <v>0.51179820992677</v>
      </c>
    </row>
  </sheetData>
  <mergeCells count="4">
    <mergeCell ref="A1:H1"/>
    <mergeCell ref="A2:H2"/>
    <mergeCell ref="A14:H14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228</v>
      </c>
      <c r="B1" s="2"/>
      <c r="C1" s="2"/>
      <c r="D1" s="2"/>
      <c r="E1" s="2"/>
    </row>
    <row r="2" customFormat="false" ht="15" hidden="false" customHeight="true" outlineLevel="0" collapsed="false">
      <c r="A2" s="22" t="s">
        <v>229</v>
      </c>
      <c r="B2" s="22"/>
      <c r="C2" s="22"/>
      <c r="D2" s="22"/>
      <c r="E2" s="22"/>
    </row>
    <row r="4" customFormat="false" ht="15" hidden="false" customHeight="true" outlineLevel="0" collapsed="false">
      <c r="A4" s="35" t="s">
        <v>118</v>
      </c>
      <c r="B4" s="35" t="s">
        <v>230</v>
      </c>
      <c r="C4" s="35" t="s">
        <v>231</v>
      </c>
      <c r="D4" s="35" t="s">
        <v>232</v>
      </c>
      <c r="E4" s="35" t="s">
        <v>233</v>
      </c>
    </row>
    <row r="5" customFormat="false" ht="15" hidden="false" customHeight="true" outlineLevel="0" collapsed="false">
      <c r="A5" s="4" t="s">
        <v>234</v>
      </c>
      <c r="B5" s="4"/>
      <c r="C5" s="4"/>
      <c r="D5" s="4"/>
      <c r="E5" s="4"/>
    </row>
    <row r="6" customFormat="false" ht="15" hidden="false" customHeight="true" outlineLevel="0" collapsed="false">
      <c r="A6" s="1" t="s">
        <v>34</v>
      </c>
      <c r="B6" s="16" t="n">
        <f aca="false">Inputs!B13</f>
        <v>150000</v>
      </c>
      <c r="C6" s="16" t="n">
        <f aca="false">Inputs!B13</f>
        <v>150000</v>
      </c>
      <c r="D6" s="16" t="n">
        <f aca="false">Inputs!B13</f>
        <v>150000</v>
      </c>
      <c r="E6" s="16" t="n">
        <f aca="false">Inputs!B13</f>
        <v>150000</v>
      </c>
    </row>
    <row r="7" customFormat="false" ht="15" hidden="false" customHeight="true" outlineLevel="0" collapsed="false">
      <c r="A7" s="1" t="s">
        <v>235</v>
      </c>
      <c r="B7" s="16" t="n">
        <f aca="false">Inputs!C14</f>
        <v>3750</v>
      </c>
      <c r="C7" s="16" t="n">
        <f aca="false">Inputs!C14</f>
        <v>3750</v>
      </c>
      <c r="D7" s="16" t="n">
        <f aca="false">Inputs!C14</f>
        <v>3750</v>
      </c>
      <c r="E7" s="16" t="n">
        <f aca="false">Inputs!C14</f>
        <v>3750</v>
      </c>
    </row>
    <row r="8" customFormat="false" ht="15" hidden="false" customHeight="true" outlineLevel="0" collapsed="false">
      <c r="A8" s="1" t="s">
        <v>236</v>
      </c>
      <c r="B8" s="16" t="n">
        <f aca="false">'Renovation Budget'!C56</f>
        <v>0</v>
      </c>
      <c r="C8" s="16" t="n">
        <f aca="false">'Renovation Budget'!C56</f>
        <v>0</v>
      </c>
      <c r="D8" s="16" t="n">
        <f aca="false">'Renovation Budget'!C56</f>
        <v>0</v>
      </c>
      <c r="E8" s="16" t="n">
        <f aca="false">'Renovation Budget'!C56</f>
        <v>0</v>
      </c>
    </row>
    <row r="9" customFormat="false" ht="15" hidden="false" customHeight="true" outlineLevel="0" collapsed="false">
      <c r="A9" s="25" t="s">
        <v>237</v>
      </c>
      <c r="B9" s="19" t="n">
        <f aca="false">SUM(B6:B8)</f>
        <v>153750</v>
      </c>
      <c r="C9" s="19" t="n">
        <f aca="false">SUM(C6:C8)</f>
        <v>153750</v>
      </c>
      <c r="D9" s="19" t="n">
        <f aca="false">SUM(D6:D8)</f>
        <v>153750</v>
      </c>
      <c r="E9" s="19" t="n">
        <f aca="false">SUM(E6:E8)</f>
        <v>153750</v>
      </c>
    </row>
    <row r="11" customFormat="false" ht="15" hidden="false" customHeight="true" outlineLevel="0" collapsed="false">
      <c r="A11" s="4" t="s">
        <v>238</v>
      </c>
      <c r="B11" s="4"/>
      <c r="C11" s="4"/>
      <c r="D11" s="4"/>
      <c r="E11" s="4"/>
    </row>
    <row r="12" customFormat="false" ht="15" hidden="false" customHeight="true" outlineLevel="0" collapsed="false">
      <c r="A12" s="1" t="s">
        <v>239</v>
      </c>
      <c r="B12" s="16" t="n">
        <v>0</v>
      </c>
      <c r="C12" s="16" t="n">
        <f aca="false">B9*Inputs!B44</f>
        <v>9225</v>
      </c>
      <c r="D12" s="16" t="n">
        <f aca="false">B9*0.7</f>
        <v>107625</v>
      </c>
      <c r="E12" s="16" t="n">
        <f aca="false">B9*0.75</f>
        <v>115312.5</v>
      </c>
    </row>
    <row r="13" customFormat="false" ht="15" hidden="false" customHeight="true" outlineLevel="0" collapsed="false">
      <c r="A13" s="1" t="s">
        <v>240</v>
      </c>
      <c r="B13" s="32" t="n">
        <v>0</v>
      </c>
      <c r="C13" s="32" t="n">
        <f aca="false">C12/C9</f>
        <v>0.06</v>
      </c>
      <c r="D13" s="32" t="n">
        <f aca="false">D12/D9</f>
        <v>0.7</v>
      </c>
      <c r="E13" s="32" t="n">
        <f aca="false">E12/E9</f>
        <v>0.75</v>
      </c>
    </row>
    <row r="14" customFormat="false" ht="15" hidden="false" customHeight="true" outlineLevel="0" collapsed="false">
      <c r="A14" s="25" t="s">
        <v>90</v>
      </c>
      <c r="B14" s="19" t="n">
        <f aca="false">B9-B12</f>
        <v>153750</v>
      </c>
      <c r="C14" s="19" t="n">
        <f aca="false">C9-C12</f>
        <v>144525</v>
      </c>
      <c r="D14" s="19" t="n">
        <f aca="false">D9-D12</f>
        <v>46125</v>
      </c>
      <c r="E14" s="19" t="n">
        <f aca="false">E9-E12</f>
        <v>38437.5</v>
      </c>
    </row>
    <row r="16" customFormat="false" ht="15" hidden="false" customHeight="true" outlineLevel="0" collapsed="false">
      <c r="A16" s="4" t="s">
        <v>241</v>
      </c>
      <c r="B16" s="4"/>
      <c r="C16" s="4"/>
      <c r="D16" s="4"/>
      <c r="E16" s="4"/>
    </row>
    <row r="17" customFormat="false" ht="15" hidden="false" customHeight="true" outlineLevel="0" collapsed="false">
      <c r="A17" s="1" t="s">
        <v>242</v>
      </c>
      <c r="B17" s="32" t="n">
        <v>0</v>
      </c>
      <c r="C17" s="32" t="n">
        <f aca="false">Inputs!B45</f>
        <v>0.015</v>
      </c>
      <c r="D17" s="32" t="n">
        <f aca="false">Inputs!B47</f>
        <v>0</v>
      </c>
      <c r="E17" s="32" t="n">
        <f aca="false">Inputs!B47</f>
        <v>0</v>
      </c>
    </row>
    <row r="18" customFormat="false" ht="15" hidden="false" customHeight="true" outlineLevel="0" collapsed="false">
      <c r="A18" s="1" t="s">
        <v>243</v>
      </c>
      <c r="B18" s="16" t="n">
        <v>0</v>
      </c>
      <c r="C18" s="16" t="n">
        <f aca="false">C12*Inputs!B46</f>
        <v>18450000</v>
      </c>
      <c r="D18" s="16" t="n">
        <v>0</v>
      </c>
      <c r="E18" s="16" t="n">
        <v>0</v>
      </c>
    </row>
    <row r="19" customFormat="false" ht="15" hidden="false" customHeight="true" outlineLevel="0" collapsed="false">
      <c r="A19" s="1" t="s">
        <v>244</v>
      </c>
      <c r="B19" s="16" t="n">
        <v>0</v>
      </c>
      <c r="C19" s="16" t="n">
        <f aca="false">C12*C17*(6/12)</f>
        <v>69.1875</v>
      </c>
      <c r="D19" s="16" t="n">
        <f aca="false">D12*D17*(6/12)</f>
        <v>0</v>
      </c>
      <c r="E19" s="16" t="n">
        <f aca="false">E12*E17*(6/12)</f>
        <v>0</v>
      </c>
    </row>
    <row r="20" customFormat="false" ht="15" hidden="false" customHeight="true" outlineLevel="0" collapsed="false">
      <c r="A20" s="25" t="s">
        <v>245</v>
      </c>
      <c r="B20" s="26" t="n">
        <f aca="false">B18+B19</f>
        <v>0</v>
      </c>
      <c r="C20" s="26" t="n">
        <f aca="false">C18+C19</f>
        <v>18450069.1875</v>
      </c>
      <c r="D20" s="26" t="n">
        <f aca="false">D18+D19</f>
        <v>0</v>
      </c>
      <c r="E20" s="26" t="n">
        <f aca="false">E18+E19</f>
        <v>0</v>
      </c>
    </row>
    <row r="22" customFormat="false" ht="15" hidden="false" customHeight="true" outlineLevel="0" collapsed="false">
      <c r="A22" s="4" t="s">
        <v>246</v>
      </c>
      <c r="B22" s="4"/>
      <c r="C22" s="4"/>
      <c r="D22" s="4"/>
      <c r="E22" s="4"/>
    </row>
    <row r="23" customFormat="false" ht="15" hidden="false" customHeight="true" outlineLevel="0" collapsed="false">
      <c r="A23" s="1" t="s">
        <v>247</v>
      </c>
      <c r="B23" s="16" t="n">
        <f aca="false">Inputs!B28</f>
        <v>0.02</v>
      </c>
      <c r="C23" s="16" t="n">
        <f aca="false">Inputs!B28</f>
        <v>0.02</v>
      </c>
      <c r="D23" s="16" t="n">
        <f aca="false">Inputs!B28</f>
        <v>0.02</v>
      </c>
      <c r="E23" s="42" t="n">
        <f aca="false">Inputs!B28*0.75</f>
        <v>0.015</v>
      </c>
    </row>
    <row r="24" customFormat="false" ht="15" hidden="false" customHeight="true" outlineLevel="0" collapsed="false">
      <c r="A24" s="1" t="s">
        <v>225</v>
      </c>
      <c r="B24" s="16" t="n">
        <f aca="false">'Deal Analysis'!D13</f>
        <v>150000</v>
      </c>
      <c r="C24" s="16" t="n">
        <f aca="false">'Deal Analysis'!D13</f>
        <v>150000</v>
      </c>
      <c r="D24" s="16" t="n">
        <f aca="false">'Deal Analysis'!D13</f>
        <v>150000</v>
      </c>
      <c r="E24" s="16" t="n">
        <v>0</v>
      </c>
    </row>
    <row r="25" customFormat="false" ht="15" hidden="false" customHeight="true" outlineLevel="0" collapsed="false">
      <c r="A25" s="1" t="s">
        <v>248</v>
      </c>
      <c r="B25" s="16" t="n">
        <v>0</v>
      </c>
      <c r="C25" s="16" t="n">
        <f aca="false">C12</f>
        <v>9225</v>
      </c>
      <c r="D25" s="16" t="n">
        <f aca="false">D12</f>
        <v>107625</v>
      </c>
      <c r="E25" s="16" t="n">
        <f aca="false">E12</f>
        <v>115312.5</v>
      </c>
    </row>
    <row r="26" customFormat="false" ht="15" hidden="false" customHeight="true" outlineLevel="0" collapsed="false">
      <c r="A26" s="25" t="s">
        <v>249</v>
      </c>
      <c r="B26" s="26" t="n">
        <f aca="false">B23-B24-B25</f>
        <v>-149999.98</v>
      </c>
      <c r="C26" s="26" t="n">
        <f aca="false">C23-C24-C25</f>
        <v>-159224.98</v>
      </c>
      <c r="D26" s="26" t="n">
        <f aca="false">D23-D24-D25</f>
        <v>-257624.98</v>
      </c>
      <c r="E26" s="26" t="n">
        <f aca="false">E23-E24-E25</f>
        <v>-115312.485</v>
      </c>
    </row>
    <row r="27" customFormat="false" ht="15" hidden="false" customHeight="true" outlineLevel="0" collapsed="false">
      <c r="A27" s="1" t="s">
        <v>250</v>
      </c>
      <c r="B27" s="16" t="n">
        <f aca="false">B9+'Deal Analysis'!D9</f>
        <v>303750</v>
      </c>
      <c r="C27" s="16" t="n">
        <f aca="false">C14+'Deal Analysis'!D9+C20</f>
        <v>18744594.1875</v>
      </c>
      <c r="D27" s="16" t="n">
        <f aca="false">D14+'Deal Analysis'!D9+D20</f>
        <v>196125</v>
      </c>
      <c r="E27" s="16" t="n">
        <f aca="false">E14+'Deal Analysis'!D9+E20</f>
        <v>188437.5</v>
      </c>
    </row>
    <row r="28" customFormat="false" ht="15" hidden="false" customHeight="true" outlineLevel="0" collapsed="false">
      <c r="A28" s="27" t="s">
        <v>251</v>
      </c>
      <c r="B28" s="28" t="n">
        <f aca="false">B26-B27</f>
        <v>-453749.98</v>
      </c>
      <c r="C28" s="28" t="n">
        <f aca="false">C26-C27</f>
        <v>-18903819.1675</v>
      </c>
      <c r="D28" s="28" t="n">
        <f aca="false">D26-D27</f>
        <v>-453749.98</v>
      </c>
      <c r="E28" s="28" t="n">
        <f aca="false">E26-E27</f>
        <v>-303749.985</v>
      </c>
    </row>
    <row r="29" customFormat="false" ht="15" hidden="false" customHeight="true" outlineLevel="0" collapsed="false">
      <c r="A29" s="27" t="s">
        <v>252</v>
      </c>
      <c r="B29" s="43" t="n">
        <f aca="false">B28/B27</f>
        <v>-1.49382709465021</v>
      </c>
      <c r="C29" s="43" t="n">
        <f aca="false">C28/C27</f>
        <v>-1.00849444796763</v>
      </c>
      <c r="D29" s="43" t="n">
        <f aca="false">D28/D27</f>
        <v>-2.31357542383684</v>
      </c>
      <c r="E29" s="43" t="n">
        <f aca="false">E28/E27</f>
        <v>-1.61194021890547</v>
      </c>
    </row>
    <row r="30" customFormat="false" ht="15" hidden="false" customHeight="true" outlineLevel="0" collapsed="false">
      <c r="A30" s="1" t="s">
        <v>216</v>
      </c>
      <c r="B30" s="32" t="n">
        <f aca="false">B29*2</f>
        <v>-2.98765418930041</v>
      </c>
      <c r="C30" s="32" t="n">
        <f aca="false">C29*2</f>
        <v>-2.01698889593525</v>
      </c>
      <c r="D30" s="32" t="n">
        <f aca="false">D29*2</f>
        <v>-4.62715084767368</v>
      </c>
      <c r="E30" s="32" t="n">
        <f aca="false">E29*2</f>
        <v>-3.22388043781095</v>
      </c>
    </row>
    <row r="33" customFormat="false" ht="15" hidden="false" customHeight="true" outlineLevel="0" collapsed="false">
      <c r="A33" s="4" t="s">
        <v>253</v>
      </c>
      <c r="B33" s="4"/>
      <c r="C33" s="4"/>
      <c r="D33" s="4"/>
      <c r="E33" s="4"/>
    </row>
    <row r="34" customFormat="false" ht="15" hidden="false" customHeight="true" outlineLevel="0" collapsed="false">
      <c r="A34" s="1" t="s">
        <v>254</v>
      </c>
    </row>
    <row r="35" customFormat="false" ht="15" hidden="false" customHeight="true" outlineLevel="0" collapsed="false">
      <c r="B35" s="1" t="s">
        <v>255</v>
      </c>
      <c r="C35" s="1" t="s">
        <v>256</v>
      </c>
      <c r="D35" s="1" t="s">
        <v>257</v>
      </c>
      <c r="E35" s="1" t="s">
        <v>258</v>
      </c>
    </row>
    <row r="36" customFormat="false" ht="15" hidden="false" customHeight="true" outlineLevel="0" collapsed="false">
      <c r="A36" s="1" t="s">
        <v>259</v>
      </c>
    </row>
    <row r="37" customFormat="false" ht="15" hidden="false" customHeight="true" outlineLevel="0" collapsed="false">
      <c r="B37" s="1" t="s">
        <v>260</v>
      </c>
      <c r="C37" s="1" t="s">
        <v>261</v>
      </c>
      <c r="D37" s="1" t="s">
        <v>262</v>
      </c>
      <c r="E37" s="1" t="s">
        <v>263</v>
      </c>
    </row>
    <row r="38" customFormat="false" ht="15" hidden="false" customHeight="true" outlineLevel="0" collapsed="false">
      <c r="B38" s="1" t="s">
        <v>264</v>
      </c>
      <c r="C38" s="1" t="s">
        <v>265</v>
      </c>
      <c r="D38" s="1" t="s">
        <v>266</v>
      </c>
      <c r="E38" s="1" t="s">
        <v>267</v>
      </c>
    </row>
    <row r="39" customFormat="false" ht="15" hidden="false" customHeight="true" outlineLevel="0" collapsed="false">
      <c r="B39" s="1" t="s">
        <v>268</v>
      </c>
      <c r="C39" s="1" t="s">
        <v>269</v>
      </c>
      <c r="D39" s="1" t="s">
        <v>270</v>
      </c>
      <c r="E39" s="1" t="s">
        <v>271</v>
      </c>
    </row>
    <row r="40" customFormat="false" ht="15" hidden="false" customHeight="true" outlineLevel="0" collapsed="false">
      <c r="A40" s="1" t="s">
        <v>272</v>
      </c>
    </row>
    <row r="41" customFormat="false" ht="15" hidden="false" customHeight="true" outlineLevel="0" collapsed="false">
      <c r="B41" s="1" t="s">
        <v>273</v>
      </c>
      <c r="C41" s="1" t="s">
        <v>274</v>
      </c>
      <c r="D41" s="1" t="s">
        <v>275</v>
      </c>
      <c r="E41" s="1" t="s">
        <v>276</v>
      </c>
    </row>
    <row r="42" customFormat="false" ht="15" hidden="false" customHeight="true" outlineLevel="0" collapsed="false">
      <c r="B42" s="1" t="s">
        <v>277</v>
      </c>
      <c r="C42" s="1" t="s">
        <v>278</v>
      </c>
      <c r="D42" s="1" t="s">
        <v>279</v>
      </c>
      <c r="E42" s="1" t="s">
        <v>280</v>
      </c>
    </row>
    <row r="43" customFormat="false" ht="15" hidden="false" customHeight="true" outlineLevel="0" collapsed="false">
      <c r="B43" s="1" t="s">
        <v>281</v>
      </c>
      <c r="C43" s="1" t="s">
        <v>282</v>
      </c>
      <c r="D43" s="1" t="s">
        <v>283</v>
      </c>
      <c r="E43" s="1" t="s">
        <v>284</v>
      </c>
    </row>
    <row r="45" customFormat="false" ht="17.25" hidden="false" customHeight="true" outlineLevel="0" collapsed="false">
      <c r="A45" s="33" t="s">
        <v>285</v>
      </c>
      <c r="B45" s="33"/>
      <c r="C45" s="33"/>
      <c r="D45" s="33"/>
      <c r="E45" s="33"/>
    </row>
    <row r="46" customFormat="false" ht="15" hidden="false" customHeight="true" outlineLevel="0" collapsed="false">
      <c r="A46" s="34" t="str">
        <f aca="false">IF(B29&gt;C29,IF(B29&gt;D29,"ALL CASH - Highest ROI","PRIVATE MONEY"),IF(C29&gt;D29,"HARD MONEY - Leverage advantage","PRIVATE MONEY"))</f>
        <v>HARD MONEY - Leverage advantage</v>
      </c>
      <c r="B46" s="34"/>
      <c r="C46" s="34"/>
      <c r="D46" s="34"/>
      <c r="E46" s="34"/>
    </row>
  </sheetData>
  <mergeCells count="9">
    <mergeCell ref="A1:E1"/>
    <mergeCell ref="A2:E2"/>
    <mergeCell ref="A5:E5"/>
    <mergeCell ref="A11:E11"/>
    <mergeCell ref="A16:E16"/>
    <mergeCell ref="A22:E22"/>
    <mergeCell ref="A33:E33"/>
    <mergeCell ref="A45:E45"/>
    <mergeCell ref="A46:E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30"/>
  </cols>
  <sheetData>
    <row r="1" customFormat="false" ht="19.5" hidden="false" customHeight="true" outlineLevel="0" collapsed="false">
      <c r="A1" s="2" t="s">
        <v>286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22" t="s">
        <v>287</v>
      </c>
      <c r="B2" s="22"/>
      <c r="C2" s="22"/>
      <c r="D2" s="22"/>
      <c r="E2" s="22"/>
      <c r="F2" s="22"/>
      <c r="G2" s="22"/>
    </row>
    <row r="4" customFormat="false" ht="15" hidden="false" customHeight="true" outlineLevel="0" collapsed="false">
      <c r="A4" s="4" t="s">
        <v>288</v>
      </c>
      <c r="B4" s="4"/>
      <c r="C4" s="4"/>
      <c r="D4" s="4"/>
      <c r="E4" s="4"/>
      <c r="F4" s="4"/>
      <c r="G4" s="4"/>
    </row>
    <row r="5" customFormat="false" ht="15" hidden="false" customHeight="true" outlineLevel="0" collapsed="false">
      <c r="A5" s="35" t="s">
        <v>289</v>
      </c>
      <c r="B5" s="35" t="s">
        <v>290</v>
      </c>
      <c r="C5" s="35" t="s">
        <v>291</v>
      </c>
      <c r="D5" s="35" t="s">
        <v>292</v>
      </c>
      <c r="E5" s="35" t="s">
        <v>291</v>
      </c>
      <c r="F5" s="35" t="s">
        <v>293</v>
      </c>
      <c r="G5" s="35" t="s">
        <v>130</v>
      </c>
    </row>
    <row r="6" customFormat="false" ht="15" hidden="false" customHeight="true" outlineLevel="0" collapsed="false">
      <c r="A6" s="1" t="s">
        <v>81</v>
      </c>
      <c r="B6" s="16" t="n">
        <f aca="false">Inputs!B28*0.9</f>
        <v>0.018</v>
      </c>
      <c r="C6" s="1" t="s">
        <v>294</v>
      </c>
      <c r="D6" s="18" t="n">
        <f aca="false">Inputs!B28</f>
        <v>0.02</v>
      </c>
      <c r="E6" s="1" t="s">
        <v>295</v>
      </c>
      <c r="F6" s="16" t="n">
        <f aca="false">Inputs!B28*1.05</f>
        <v>0.021</v>
      </c>
      <c r="G6" s="1" t="s">
        <v>296</v>
      </c>
    </row>
    <row r="7" customFormat="false" ht="15" hidden="false" customHeight="true" outlineLevel="0" collapsed="false">
      <c r="A7" s="1" t="s">
        <v>236</v>
      </c>
      <c r="B7" s="16" t="n">
        <f aca="false">'Renovation Budget'!C56*1.2</f>
        <v>0</v>
      </c>
      <c r="C7" s="1" t="s">
        <v>297</v>
      </c>
      <c r="D7" s="18" t="n">
        <f aca="false">'Renovation Budget'!C56</f>
        <v>0</v>
      </c>
      <c r="E7" s="1" t="s">
        <v>295</v>
      </c>
      <c r="F7" s="16" t="n">
        <f aca="false">'Renovation Budget'!C56*0.95</f>
        <v>0</v>
      </c>
      <c r="G7" s="1" t="s">
        <v>298</v>
      </c>
    </row>
    <row r="8" customFormat="false" ht="15" hidden="false" customHeight="true" outlineLevel="0" collapsed="false">
      <c r="A8" s="1" t="s">
        <v>299</v>
      </c>
      <c r="B8" s="12" t="n">
        <v>9</v>
      </c>
      <c r="C8" s="1" t="s">
        <v>300</v>
      </c>
      <c r="D8" s="44" t="n">
        <v>6</v>
      </c>
      <c r="E8" s="1" t="s">
        <v>295</v>
      </c>
      <c r="F8" s="12" t="n">
        <v>4</v>
      </c>
      <c r="G8" s="1" t="s">
        <v>301</v>
      </c>
    </row>
    <row r="9" customFormat="false" ht="15" hidden="false" customHeight="true" outlineLevel="0" collapsed="false">
      <c r="A9" s="1" t="s">
        <v>34</v>
      </c>
      <c r="B9" s="16" t="n">
        <f aca="false">Inputs!B13</f>
        <v>150000</v>
      </c>
      <c r="C9" s="1" t="s">
        <v>295</v>
      </c>
      <c r="D9" s="18" t="n">
        <f aca="false">Inputs!B13</f>
        <v>150000</v>
      </c>
      <c r="E9" s="1" t="s">
        <v>295</v>
      </c>
      <c r="F9" s="16" t="n">
        <f aca="false">Inputs!B13</f>
        <v>150000</v>
      </c>
      <c r="G9" s="1" t="s">
        <v>302</v>
      </c>
    </row>
    <row r="11" customFormat="false" ht="15" hidden="false" customHeight="true" outlineLevel="0" collapsed="false">
      <c r="A11" s="4" t="s">
        <v>303</v>
      </c>
      <c r="B11" s="4"/>
      <c r="C11" s="4"/>
      <c r="D11" s="4"/>
      <c r="E11" s="4"/>
      <c r="F11" s="4"/>
      <c r="G11" s="4"/>
    </row>
    <row r="12" customFormat="false" ht="15" hidden="false" customHeight="true" outlineLevel="0" collapsed="false">
      <c r="A12" s="35" t="s">
        <v>118</v>
      </c>
      <c r="B12" s="35" t="s">
        <v>290</v>
      </c>
      <c r="C12" s="35" t="s">
        <v>304</v>
      </c>
      <c r="D12" s="35" t="s">
        <v>292</v>
      </c>
      <c r="E12" s="35" t="s">
        <v>304</v>
      </c>
      <c r="F12" s="35" t="s">
        <v>293</v>
      </c>
      <c r="G12" s="35" t="s">
        <v>305</v>
      </c>
    </row>
    <row r="13" customFormat="false" ht="15" hidden="false" customHeight="true" outlineLevel="0" collapsed="false">
      <c r="A13" s="1" t="s">
        <v>89</v>
      </c>
      <c r="B13" s="16" t="n">
        <f aca="false">B9+Inputs!C14+B7+((Inputs!B30+Inputs!B31+Inputs!B32+Inputs!B33)*B8)</f>
        <v>157350</v>
      </c>
      <c r="C13" s="32" t="n">
        <f aca="false">(B13-D13)/D13</f>
        <v>28.9714285714286</v>
      </c>
      <c r="D13" s="18" t="n">
        <f aca="false">'Deal Analysis'!D10</f>
        <v>5250</v>
      </c>
      <c r="E13" s="32" t="n">
        <f aca="false">(F13-D13)/D13</f>
        <v>28.5904761904762</v>
      </c>
      <c r="F13" s="16" t="n">
        <f aca="false">F9+Inputs!C14+F7+((Inputs!B30+Inputs!B31+Inputs!B32+Inputs!B33)*F8)</f>
        <v>155350</v>
      </c>
    </row>
    <row r="14" customFormat="false" ht="15" hidden="false" customHeight="true" outlineLevel="0" collapsed="false">
      <c r="A14" s="1" t="s">
        <v>225</v>
      </c>
      <c r="B14" s="16" t="n">
        <f aca="false">B6*(Inputs!B40+Inputs!B41)+Inputs!B42</f>
        <v>4.68</v>
      </c>
      <c r="C14" s="32" t="n">
        <f aca="false">(B14-D14)/D14</f>
        <v>-0.9999688</v>
      </c>
      <c r="D14" s="18" t="n">
        <f aca="false">'Deal Analysis'!D13</f>
        <v>150000</v>
      </c>
      <c r="E14" s="32" t="n">
        <f aca="false">(F14-D14)/D14</f>
        <v>-0.9999636</v>
      </c>
      <c r="F14" s="16" t="n">
        <f aca="false">F6*(Inputs!B40+Inputs!B41)+Inputs!B42</f>
        <v>5.46</v>
      </c>
    </row>
    <row r="15" customFormat="false" ht="15" hidden="false" customHeight="true" outlineLevel="0" collapsed="false">
      <c r="A15" s="1" t="s">
        <v>95</v>
      </c>
      <c r="B15" s="16" t="n">
        <f aca="false">B6-B14</f>
        <v>-4.662</v>
      </c>
      <c r="C15" s="32" t="n">
        <f aca="false">(B15-D15)/D15</f>
        <v>-1.000888</v>
      </c>
      <c r="D15" s="18" t="n">
        <f aca="false">'Deal Analysis'!D14</f>
        <v>5250</v>
      </c>
      <c r="E15" s="32" t="n">
        <f aca="false">(F15-D15)/D15</f>
        <v>-1.001036</v>
      </c>
      <c r="F15" s="16" t="n">
        <f aca="false">F6-F14</f>
        <v>-5.439</v>
      </c>
    </row>
    <row r="16" customFormat="false" ht="15" hidden="false" customHeight="true" outlineLevel="0" collapsed="false">
      <c r="A16" s="25" t="s">
        <v>96</v>
      </c>
      <c r="B16" s="45" t="n">
        <f aca="false">B15-B13</f>
        <v>-157354.662</v>
      </c>
      <c r="C16" s="32" t="n">
        <f aca="false">IFERROR((B16-D16)/D16,0)</f>
        <v>0</v>
      </c>
      <c r="D16" s="19" t="n">
        <f aca="false">'Deal Analysis'!D15</f>
        <v>0</v>
      </c>
      <c r="E16" s="32" t="n">
        <f aca="false">IFERROR((F16-D16)/D16,0)</f>
        <v>0</v>
      </c>
      <c r="F16" s="40" t="n">
        <f aca="false">F15-F13</f>
        <v>-155355.439</v>
      </c>
    </row>
    <row r="17" customFormat="false" ht="15" hidden="false" customHeight="true" outlineLevel="0" collapsed="false">
      <c r="A17" s="25" t="s">
        <v>122</v>
      </c>
      <c r="B17" s="46" t="n">
        <f aca="false">B16/B13</f>
        <v>-1.00002962821735</v>
      </c>
      <c r="C17" s="32" t="n">
        <f aca="false">B17-D17</f>
        <v>-1.00002962821735</v>
      </c>
      <c r="D17" s="47" t="n">
        <f aca="false">'Deal Analysis'!D16</f>
        <v>0</v>
      </c>
      <c r="E17" s="32" t="n">
        <f aca="false">F17-D17</f>
        <v>-1.00003501126489</v>
      </c>
      <c r="F17" s="29" t="n">
        <f aca="false">F16/F13</f>
        <v>-1.00003501126489</v>
      </c>
    </row>
    <row r="18" customFormat="false" ht="15" hidden="false" customHeight="true" outlineLevel="0" collapsed="false">
      <c r="A18" s="1" t="s">
        <v>123</v>
      </c>
      <c r="B18" s="32" t="n">
        <f aca="false">B16/B6</f>
        <v>-8741925.66666667</v>
      </c>
      <c r="C18" s="32" t="n">
        <f aca="false">B18-D18</f>
        <v>-8741925.66666667</v>
      </c>
      <c r="D18" s="48" t="n">
        <f aca="false">'Deal Analysis'!D28</f>
        <v>0</v>
      </c>
      <c r="E18" s="32" t="n">
        <f aca="false">F18-D18</f>
        <v>-7397878.04761905</v>
      </c>
      <c r="F18" s="32" t="n">
        <f aca="false">F16/F6</f>
        <v>-7397878.04761905</v>
      </c>
    </row>
    <row r="21" customFormat="false" ht="15" hidden="false" customHeight="true" outlineLevel="0" collapsed="false">
      <c r="A21" s="4" t="s">
        <v>306</v>
      </c>
      <c r="B21" s="4"/>
      <c r="C21" s="4"/>
      <c r="D21" s="4"/>
      <c r="E21" s="4"/>
      <c r="F21" s="4"/>
      <c r="G21" s="4"/>
    </row>
    <row r="22" customFormat="false" ht="15" hidden="false" customHeight="true" outlineLevel="0" collapsed="false">
      <c r="A22" s="1" t="s">
        <v>307</v>
      </c>
      <c r="B22" s="49" t="str">
        <f aca="false">IF(B16&gt;0,"YES - Still profitable","NO - Would lose money")</f>
        <v>NO - Would lose money</v>
      </c>
      <c r="C22" s="49"/>
      <c r="D22" s="49"/>
    </row>
    <row r="23" customFormat="false" ht="15" hidden="false" customHeight="true" outlineLevel="0" collapsed="false">
      <c r="A23" s="1" t="s">
        <v>308</v>
      </c>
      <c r="B23" s="49" t="str">
        <f aca="false">IF(B16&gt;=Inputs!B50,"YES - Exceeds minimum","NO - Below minimum")</f>
        <v>NO - Below minimum</v>
      </c>
      <c r="C23" s="49"/>
      <c r="D23" s="49"/>
    </row>
    <row r="24" customFormat="false" ht="15" hidden="false" customHeight="true" outlineLevel="0" collapsed="false">
      <c r="A24" s="1" t="s">
        <v>309</v>
      </c>
      <c r="B24" s="49" t="str">
        <f aca="false">IF(B17&gt;=0.15,"ACCEPTABLE",IF(B17&gt;=0.1,"MARGINAL","RISKY"))</f>
        <v>RISKY</v>
      </c>
      <c r="C24" s="49"/>
      <c r="D24" s="49"/>
    </row>
    <row r="25" customFormat="false" ht="15" hidden="false" customHeight="true" outlineLevel="0" collapsed="false">
      <c r="A25" s="1" t="s">
        <v>310</v>
      </c>
      <c r="B25" s="26" t="n">
        <f aca="false">F16-D16</f>
        <v>-155355.439</v>
      </c>
      <c r="C25" s="50" t="s">
        <v>311</v>
      </c>
      <c r="D25" s="50"/>
    </row>
    <row r="26" customFormat="false" ht="15" hidden="false" customHeight="true" outlineLevel="0" collapsed="false">
      <c r="A26" s="1" t="s">
        <v>312</v>
      </c>
      <c r="B26" s="26" t="n">
        <f aca="false">D16-B16</f>
        <v>157354.662</v>
      </c>
      <c r="C26" s="50" t="s">
        <v>313</v>
      </c>
      <c r="D26" s="50"/>
    </row>
    <row r="29" customFormat="false" ht="15" hidden="false" customHeight="true" outlineLevel="0" collapsed="false">
      <c r="A29" s="4" t="s">
        <v>314</v>
      </c>
      <c r="B29" s="4"/>
      <c r="C29" s="4"/>
      <c r="D29" s="4"/>
      <c r="E29" s="4"/>
      <c r="F29" s="4"/>
      <c r="G29" s="4"/>
    </row>
    <row r="30" customFormat="false" ht="15" hidden="false" customHeight="true" outlineLevel="0" collapsed="false">
      <c r="A30" s="1" t="s">
        <v>315</v>
      </c>
      <c r="B30" s="16" t="n">
        <f aca="false">(B13+B14)/(1-(Inputs!B40+Inputs!B41))</f>
        <v>-607.547027027027</v>
      </c>
      <c r="C30" s="50" t="s">
        <v>316</v>
      </c>
      <c r="D30" s="50"/>
    </row>
    <row r="31" customFormat="false" ht="15" hidden="false" customHeight="true" outlineLevel="0" collapsed="false">
      <c r="A31" s="1" t="s">
        <v>317</v>
      </c>
      <c r="B31" s="32" t="n">
        <f aca="false">(D6-B26)/D6</f>
        <v>-7867732.1</v>
      </c>
      <c r="C31" s="50" t="s">
        <v>318</v>
      </c>
      <c r="D31" s="50"/>
    </row>
    <row r="32" customFormat="false" ht="15" hidden="false" customHeight="true" outlineLevel="0" collapsed="false">
      <c r="A32" s="1" t="s">
        <v>319</v>
      </c>
      <c r="B32" s="16" t="n">
        <f aca="false">D16/0.8</f>
        <v>0</v>
      </c>
      <c r="C32" s="50" t="s">
        <v>320</v>
      </c>
      <c r="D32" s="50"/>
    </row>
    <row r="33" customFormat="false" ht="15" hidden="false" customHeight="true" outlineLevel="0" collapsed="false">
      <c r="A33" s="1" t="s">
        <v>321</v>
      </c>
      <c r="B33" s="32" t="n">
        <f aca="false">IFERROR((B28-D7)/D7,0)</f>
        <v>0</v>
      </c>
      <c r="C33" s="50" t="s">
        <v>322</v>
      </c>
      <c r="D33" s="50"/>
    </row>
    <row r="36" customFormat="false" ht="17.25" hidden="false" customHeight="true" outlineLevel="0" collapsed="false">
      <c r="A36" s="33" t="s">
        <v>323</v>
      </c>
      <c r="B36" s="33"/>
      <c r="C36" s="33"/>
      <c r="D36" s="33"/>
      <c r="E36" s="33"/>
      <c r="F36" s="33"/>
      <c r="G36" s="33"/>
    </row>
    <row r="37" customFormat="false" ht="15" hidden="false" customHeight="true" outlineLevel="0" collapsed="false">
      <c r="A37" s="34" t="str">
        <f aca="false">IF(AND(B16&gt;0,B17&gt;=0.1),"DEAL HAS ACCEPTABLE RISK - Even worst case is profitable","HIGH RISK - Worst case results in loss or minimal profit")</f>
        <v>HIGH RISK - Worst case results in loss or minimal profit</v>
      </c>
      <c r="B37" s="34"/>
      <c r="C37" s="34"/>
      <c r="D37" s="34"/>
      <c r="E37" s="34"/>
      <c r="F37" s="34"/>
      <c r="G37" s="34"/>
    </row>
    <row r="38" customFormat="false" ht="15" hidden="false" customHeight="true" outlineLevel="0" collapsed="false">
      <c r="A38" s="51" t="str">
        <f aca="false">IF(B27&gt;0.15,"STRONG MARGIN OF SAFETY on ARV","THIN MARGINS - Small ARV drop = loss")</f>
        <v>THIN MARGINS - Small ARV drop = loss</v>
      </c>
      <c r="B38" s="51"/>
      <c r="C38" s="51"/>
      <c r="D38" s="51"/>
      <c r="E38" s="51"/>
      <c r="F38" s="51"/>
      <c r="G38" s="51"/>
    </row>
  </sheetData>
  <mergeCells count="18">
    <mergeCell ref="A1:G1"/>
    <mergeCell ref="A2:G2"/>
    <mergeCell ref="A4:G4"/>
    <mergeCell ref="A11:G11"/>
    <mergeCell ref="A21:G21"/>
    <mergeCell ref="B22:D22"/>
    <mergeCell ref="B23:D23"/>
    <mergeCell ref="B24:D24"/>
    <mergeCell ref="C25:D25"/>
    <mergeCell ref="C26:D26"/>
    <mergeCell ref="A29:G29"/>
    <mergeCell ref="C30:D30"/>
    <mergeCell ref="C31:D31"/>
    <mergeCell ref="C32:D32"/>
    <mergeCell ref="C33:D33"/>
    <mergeCell ref="A36:G36"/>
    <mergeCell ref="A37:G37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5" min="2" style="1" width="15"/>
  </cols>
  <sheetData>
    <row r="1" customFormat="false" ht="19.5" hidden="false" customHeight="true" outlineLevel="0" collapsed="false">
      <c r="A1" s="2" t="s">
        <v>324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35" t="s">
        <v>325</v>
      </c>
      <c r="B4" s="35" t="s">
        <v>326</v>
      </c>
      <c r="C4" s="35" t="s">
        <v>233</v>
      </c>
      <c r="D4" s="35" t="s">
        <v>327</v>
      </c>
      <c r="E4" s="35" t="s">
        <v>328</v>
      </c>
    </row>
    <row r="5" customFormat="false" ht="15" hidden="false" customHeight="true" outlineLevel="0" collapsed="false">
      <c r="A5" s="1" t="s">
        <v>193</v>
      </c>
      <c r="B5" s="16" t="n">
        <f aca="false">'Deal Analysis'!D15</f>
        <v>0</v>
      </c>
      <c r="C5" s="16" t="n">
        <f aca="false">Inputs!B28*0.75*0.25</f>
        <v>0.00375</v>
      </c>
      <c r="D5" s="16" t="n">
        <v>0</v>
      </c>
      <c r="E5" s="16" t="n">
        <f aca="false">Inputs!B28*0.1</f>
        <v>0.002</v>
      </c>
    </row>
    <row r="6" customFormat="false" ht="15" hidden="false" customHeight="true" outlineLevel="0" collapsed="false">
      <c r="A6" s="1" t="s">
        <v>329</v>
      </c>
      <c r="B6" s="16" t="n">
        <v>0</v>
      </c>
      <c r="C6" s="16" t="n">
        <f aca="false">Inputs!B28*0.0075</f>
        <v>0.00015</v>
      </c>
      <c r="D6" s="16" t="n">
        <f aca="false">Inputs!B28*0.0075</f>
        <v>0.00015</v>
      </c>
      <c r="E6" s="16" t="n">
        <f aca="false">Inputs!B28*0.005</f>
        <v>0.0001</v>
      </c>
    </row>
    <row r="7" customFormat="false" ht="15" hidden="false" customHeight="true" outlineLevel="0" collapsed="false">
      <c r="A7" s="1" t="s">
        <v>330</v>
      </c>
      <c r="B7" s="32" t="n">
        <f aca="false">'Deal Analysis'!D16</f>
        <v>0</v>
      </c>
      <c r="C7" s="32" t="n">
        <f aca="false">IFERROR((C6*12)/'Deal Analysis'!D10,0)</f>
        <v>3.42857142857143E-007</v>
      </c>
      <c r="D7" s="32" t="n">
        <f aca="false">IFERROR((D6*12)/'Deal Analysis'!D10,0)</f>
        <v>3.42857142857143E-007</v>
      </c>
      <c r="E7" s="32" t="n">
        <f aca="false">(E6*12)/E5</f>
        <v>0.6</v>
      </c>
    </row>
    <row r="9" customFormat="false" ht="15" hidden="false" customHeight="true" outlineLevel="0" collapsed="false">
      <c r="A9" s="1" t="s">
        <v>254</v>
      </c>
    </row>
    <row r="10" customFormat="false" ht="15" hidden="false" customHeight="true" outlineLevel="0" collapsed="false">
      <c r="B10" s="1" t="s">
        <v>331</v>
      </c>
      <c r="C10" s="1" t="s">
        <v>332</v>
      </c>
      <c r="D10" s="1" t="s">
        <v>333</v>
      </c>
      <c r="E10" s="1" t="s">
        <v>334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2025-11-03T17:29:49Z</dcterms:created>
  <dc:creator>openpyxl</dc:creator>
  <dc:description/>
  <dc:language>en-US</dc:language>
  <cp:lastModifiedBy/>
  <dcterms:modified xsi:type="dcterms:W3CDTF">2025-11-03T20:21:31Z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